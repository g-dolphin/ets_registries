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filterPrivacy="1" autoCompressPictures="0" defaultThemeVersion="124226"/>
  <xr:revisionPtr revIDLastSave="0" documentId="13_ncr:1_{95E788B6-2B99-4198-B0CA-1D7512C736AE}" xr6:coauthVersionLast="47" xr6:coauthVersionMax="47" xr10:uidLastSave="{00000000-0000-0000-0000-000000000000}"/>
  <bookViews>
    <workbookView xWindow="-120" yWindow="-120" windowWidth="29040" windowHeight="15840" xr2:uid="{00000000-000D-0000-FFFF-FFFF00000000}"/>
  </bookViews>
  <sheets>
    <sheet name="Introduction" sheetId="17" r:id="rId1"/>
    <sheet name="Column Descriptions" sheetId="16" r:id="rId2"/>
    <sheet name="2016 GHG Data" sheetId="2" r:id="rId3"/>
  </sheets>
  <definedNames>
    <definedName name="\a">#REF!</definedName>
    <definedName name="\b">#REF!</definedName>
    <definedName name="\c">#REF!</definedName>
    <definedName name="\d">#REF!</definedName>
    <definedName name="\e">#REF!</definedName>
    <definedName name="\f">#REF!</definedName>
    <definedName name="\g">#REF!</definedName>
    <definedName name="\p">#REF!</definedName>
    <definedName name="\y">#REF!</definedName>
    <definedName name="_1_1030CYSTOCKS">#REF!</definedName>
    <definedName name="_xlnm._FilterDatabase" localSheetId="2" hidden="1">'2016 GHG Data'!$B$9:$AD$9</definedName>
    <definedName name="Emissions___Fuels____Emitting_Activities__Fuel_and_Emissions">#REF!</definedName>
    <definedName name="Facilities_Coal_Coke_Clinker_and_FeeReg_only">#REF!</definedName>
    <definedName name="Facilities_Total_net_MWh">#REF!</definedName>
    <definedName name="Facility_summary_2008">#REF!</definedName>
    <definedName name="Facility_summary_2009">#REF!</definedName>
    <definedName name="Facility_summary_2010">#REF!</definedName>
    <definedName name="MACROS">#REF!</definedName>
    <definedName name="Net_Generation_by_State__Type_1">#REF!</definedName>
    <definedName name="Net_Generation_by_State__Type_of_Producer__Energy_Source">#REF!</definedName>
    <definedName name="_xlnm.Print_Area" localSheetId="2">'2016 GHG Data'!$B$5:$AD$30</definedName>
    <definedName name="_xlnm.Print_Area" localSheetId="1">'Column Descriptions'!$B$2:$D$65</definedName>
    <definedName name="_xlnm.Print_Area" localSheetId="0">Introduction!$B$1:$C$21</definedName>
    <definedName name="Print_Area_MI">#REF!</definedName>
    <definedName name="_xlnm.Print_Titles" localSheetId="2">'2016 GHG Data'!$5:$9</definedName>
    <definedName name="_xlnm.Print_Titles" localSheetId="1">'Column Descriptions'!$1:$4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4" i="2" l="1"/>
  <c r="Q4" i="2"/>
</calcChain>
</file>

<file path=xl/sharedStrings.xml><?xml version="1.0" encoding="utf-8"?>
<sst xmlns="http://schemas.openxmlformats.org/spreadsheetml/2006/main" count="7961" uniqueCount="1537">
  <si>
    <t>C</t>
  </si>
  <si>
    <t>D</t>
  </si>
  <si>
    <t>ARB ID</t>
  </si>
  <si>
    <t>Facility Physical Address</t>
  </si>
  <si>
    <t>City</t>
  </si>
  <si>
    <t>State</t>
  </si>
  <si>
    <t>Zip Code</t>
  </si>
  <si>
    <t>California Air Resources Board</t>
  </si>
  <si>
    <t>Facility Name</t>
  </si>
  <si>
    <t></t>
  </si>
  <si>
    <t>Column ID</t>
  </si>
  <si>
    <t>Column Name</t>
  </si>
  <si>
    <t>Description and Notes</t>
  </si>
  <si>
    <t>B</t>
  </si>
  <si>
    <t>F</t>
  </si>
  <si>
    <t>AEL</t>
  </si>
  <si>
    <r>
      <t xml:space="preserve">Facility Reported GHG Data
</t>
    </r>
    <r>
      <rPr>
        <sz val="11"/>
        <color theme="0"/>
        <rFont val="Calibri"/>
        <family val="2"/>
      </rPr>
      <t>(metric tons CO</t>
    </r>
    <r>
      <rPr>
        <vertAlign val="subscript"/>
        <sz val="11"/>
        <color theme="0"/>
        <rFont val="Calibri"/>
        <family val="2"/>
      </rPr>
      <t>2</t>
    </r>
    <r>
      <rPr>
        <sz val="11"/>
        <color theme="0"/>
        <rFont val="Calibri"/>
        <family val="2"/>
      </rPr>
      <t>e)</t>
    </r>
  </si>
  <si>
    <t>Verification Statement for Emissions Data</t>
  </si>
  <si>
    <t>NAICS code</t>
  </si>
  <si>
    <t>AEL (Assigned Emissions Level)</t>
  </si>
  <si>
    <t>G</t>
  </si>
  <si>
    <t>I</t>
  </si>
  <si>
    <t>J</t>
  </si>
  <si>
    <t>O</t>
  </si>
  <si>
    <t>See the "Introduction" tab and the "Column Descriptions" tab for important information about the data shown.</t>
  </si>
  <si>
    <r>
      <t>Total CO</t>
    </r>
    <r>
      <rPr>
        <vertAlign val="subscript"/>
        <sz val="11"/>
        <color theme="1"/>
        <rFont val="Calibri"/>
        <family val="2"/>
        <scheme val="minor"/>
      </rPr>
      <t>2</t>
    </r>
    <r>
      <rPr>
        <sz val="11"/>
        <color theme="1"/>
        <rFont val="Calibri"/>
        <family val="2"/>
        <scheme val="minor"/>
      </rPr>
      <t>e  (combustion, process, vented, and supplier)</t>
    </r>
  </si>
  <si>
    <r>
      <t>Total CO</t>
    </r>
    <r>
      <rPr>
        <b/>
        <vertAlign val="subscript"/>
        <sz val="11"/>
        <color theme="0"/>
        <rFont val="Calibri"/>
        <family val="2"/>
      </rPr>
      <t>2</t>
    </r>
    <r>
      <rPr>
        <b/>
        <sz val="11"/>
        <color theme="0"/>
        <rFont val="Calibri"/>
        <family val="2"/>
      </rPr>
      <t xml:space="preserve">e 
</t>
    </r>
    <r>
      <rPr>
        <sz val="11"/>
        <color theme="0"/>
        <rFont val="Calibri"/>
        <family val="2"/>
      </rPr>
      <t>(combustion, process, vented, and supplier)</t>
    </r>
  </si>
  <si>
    <r>
      <t xml:space="preserve">A finding of </t>
    </r>
    <r>
      <rPr>
        <b/>
        <sz val="11"/>
        <color theme="1"/>
        <rFont val="Calibri"/>
        <family val="2"/>
        <scheme val="minor"/>
      </rPr>
      <t>“Positive”</t>
    </r>
    <r>
      <rPr>
        <sz val="11"/>
        <color theme="1"/>
        <rFont val="Calibri"/>
        <family val="2"/>
        <scheme val="minor"/>
      </rPr>
      <t xml:space="preserve"> means the verification body has attested that it can say with reasonable assurance that the total covered emissions reported is free of errors greater than 5%, the emissions data conforms to the requirements of the regulation, and that all correctable errors identified by the verification body have been addressed.</t>
    </r>
  </si>
  <si>
    <r>
      <t xml:space="preserve">Total Emissions
</t>
    </r>
    <r>
      <rPr>
        <sz val="11"/>
        <color theme="0"/>
        <rFont val="Calibri"/>
        <family val="2"/>
      </rPr>
      <t>(metric tons CO</t>
    </r>
    <r>
      <rPr>
        <vertAlign val="subscript"/>
        <sz val="11"/>
        <color theme="0"/>
        <rFont val="Calibri"/>
        <family val="2"/>
      </rPr>
      <t>2</t>
    </r>
    <r>
      <rPr>
        <sz val="11"/>
        <color theme="0"/>
        <rFont val="Calibri"/>
        <family val="2"/>
      </rPr>
      <t>e)</t>
    </r>
  </si>
  <si>
    <t>Verification Statements</t>
  </si>
  <si>
    <t>Emissions Data</t>
  </si>
  <si>
    <t>Product Data</t>
  </si>
  <si>
    <t>Verification Statement for Product Data</t>
  </si>
  <si>
    <t>V</t>
  </si>
  <si>
    <t>P</t>
  </si>
  <si>
    <t>Emissions Units Overview</t>
  </si>
  <si>
    <r>
      <t xml:space="preserve">A finding of </t>
    </r>
    <r>
      <rPr>
        <b/>
        <sz val="11"/>
        <color theme="1"/>
        <rFont val="Calibri"/>
        <family val="2"/>
        <scheme val="minor"/>
      </rPr>
      <t>“Qualified Positive”</t>
    </r>
    <r>
      <rPr>
        <sz val="11"/>
        <color theme="1"/>
        <rFont val="Calibri"/>
        <family val="2"/>
        <scheme val="minor"/>
      </rPr>
      <t xml:space="preserve"> means the verification body has attested that it can say with reasonable assurance that the total covered emissions reported is free of errors greater than 5%, but the emissions data include one or more nonconformances with the requirements of the regulation which do not result in a material misstatement. In addition, if correctable errors were identified by the verification body during emissions data checks, they have been corrected.</t>
    </r>
  </si>
  <si>
    <r>
      <t xml:space="preserve">A finding of </t>
    </r>
    <r>
      <rPr>
        <b/>
        <sz val="11"/>
        <color theme="1"/>
        <rFont val="Calibri"/>
        <family val="2"/>
        <scheme val="minor"/>
      </rPr>
      <t>“Positive”</t>
    </r>
    <r>
      <rPr>
        <sz val="11"/>
        <color theme="1"/>
        <rFont val="Calibri"/>
        <family val="2"/>
        <scheme val="minor"/>
      </rPr>
      <t xml:space="preserve"> means the verification body has attested that it can say with reasonable assurance that the reported product data are free of errors greater than 5%, the product data conform to the requirements of the regulation, and that all correctable errors identified by the verification body have been addressed.</t>
    </r>
  </si>
  <si>
    <t>NOTE:</t>
  </si>
  <si>
    <t>Facility Reported GHG Data</t>
  </si>
  <si>
    <r>
      <t xml:space="preserve">A finding of </t>
    </r>
    <r>
      <rPr>
        <b/>
        <sz val="11"/>
        <color theme="1"/>
        <rFont val="Calibri"/>
        <family val="2"/>
        <scheme val="minor"/>
      </rPr>
      <t>“Qualified Positive”</t>
    </r>
    <r>
      <rPr>
        <sz val="11"/>
        <color theme="1"/>
        <rFont val="Calibri"/>
        <family val="2"/>
        <scheme val="minor"/>
      </rPr>
      <t xml:space="preserve"> means the verification body has attested that it can say with reasonable assurance that the reported product data is free of errors greater than 5%, but the product data include one or more nonconformances with the requirements of the regulation which do not result in a material misstatement. In addition, if correctable errors were identified by the verification body they have been corrected.</t>
    </r>
  </si>
  <si>
    <t>Verification Body</t>
  </si>
  <si>
    <t>R</t>
  </si>
  <si>
    <t>Report Year</t>
  </si>
  <si>
    <t>Report
Year</t>
  </si>
  <si>
    <r>
      <t>Electricity Importer CO</t>
    </r>
    <r>
      <rPr>
        <b/>
        <vertAlign val="subscript"/>
        <sz val="11"/>
        <color theme="0"/>
        <rFont val="Calibri"/>
        <family val="2"/>
      </rPr>
      <t>2</t>
    </r>
    <r>
      <rPr>
        <b/>
        <sz val="11"/>
        <color theme="0"/>
        <rFont val="Calibri"/>
        <family val="2"/>
      </rPr>
      <t xml:space="preserve">e </t>
    </r>
  </si>
  <si>
    <t>L</t>
  </si>
  <si>
    <r>
      <t>Electricity Importer CO</t>
    </r>
    <r>
      <rPr>
        <vertAlign val="subscript"/>
        <sz val="11"/>
        <color theme="1"/>
        <rFont val="Calibri"/>
        <family val="2"/>
        <scheme val="minor"/>
      </rPr>
      <t>2</t>
    </r>
    <r>
      <rPr>
        <sz val="11"/>
        <color theme="1"/>
        <rFont val="Calibri"/>
        <family val="2"/>
        <scheme val="minor"/>
      </rPr>
      <t xml:space="preserve">e </t>
    </r>
  </si>
  <si>
    <t>Industry Classifications</t>
  </si>
  <si>
    <t>NOTES:</t>
  </si>
  <si>
    <t>Z</t>
  </si>
  <si>
    <t>AA</t>
  </si>
  <si>
    <t>Industry Sector</t>
  </si>
  <si>
    <t>North American Industry Classification System (NAICS) 
Code and Description</t>
  </si>
  <si>
    <t>Emitter Covered
Emissions</t>
  </si>
  <si>
    <t>K</t>
  </si>
  <si>
    <t>Emitter Covered Emissions</t>
  </si>
  <si>
    <r>
      <t xml:space="preserve">ARB Calculated Covered Emissions
</t>
    </r>
    <r>
      <rPr>
        <sz val="11"/>
        <color theme="0"/>
        <rFont val="Calibri"/>
        <family val="2"/>
      </rPr>
      <t>(metric tons CO</t>
    </r>
    <r>
      <rPr>
        <vertAlign val="subscript"/>
        <sz val="11"/>
        <color theme="0"/>
        <rFont val="Calibri"/>
        <family val="2"/>
      </rPr>
      <t>2</t>
    </r>
    <r>
      <rPr>
        <sz val="11"/>
        <color theme="0"/>
        <rFont val="Calibri"/>
        <family val="2"/>
      </rPr>
      <t>e)</t>
    </r>
  </si>
  <si>
    <t>Total Covered Emissions</t>
  </si>
  <si>
    <t>Electricity Importer Covered Emissions</t>
  </si>
  <si>
    <t>Q</t>
  </si>
  <si>
    <t>AB</t>
  </si>
  <si>
    <t>AC</t>
  </si>
  <si>
    <t>W</t>
  </si>
  <si>
    <t xml:space="preserve">Total Non-Covered Emissions </t>
  </si>
  <si>
    <t>U.S.EPA/ARB Subparts</t>
  </si>
  <si>
    <t>Fuel Supplier Covered
Emissions</t>
  </si>
  <si>
    <t>Fuel Supplier Covered Emissions</t>
  </si>
  <si>
    <t>This column displays ARB facility or entity identification code</t>
  </si>
  <si>
    <t>This column displays the name of the facility or entity</t>
  </si>
  <si>
    <t>This column displays the calendar year corresponding to displayed emissions data</t>
  </si>
  <si>
    <r>
      <t>This column displays direct CO</t>
    </r>
    <r>
      <rPr>
        <vertAlign val="subscript"/>
        <sz val="11"/>
        <color theme="1"/>
        <rFont val="Calibri"/>
        <family val="2"/>
        <scheme val="minor"/>
      </rPr>
      <t>2</t>
    </r>
    <r>
      <rPr>
        <sz val="11"/>
        <color theme="1"/>
        <rFont val="Calibri"/>
        <family val="2"/>
        <scheme val="minor"/>
      </rPr>
      <t xml:space="preserve"> emissions resulting from combustion of biogenic fuels such as biogas or forest-derived wood.</t>
    </r>
  </si>
  <si>
    <r>
      <t>This column displays emissions reported by electricity importers, which represents the total emissions computed as CO</t>
    </r>
    <r>
      <rPr>
        <vertAlign val="subscript"/>
        <sz val="11"/>
        <color theme="1"/>
        <rFont val="Calibri"/>
        <family val="2"/>
        <scheme val="minor"/>
      </rPr>
      <t>2</t>
    </r>
    <r>
      <rPr>
        <sz val="11"/>
        <color theme="1"/>
        <rFont val="Calibri"/>
        <family val="2"/>
        <scheme val="minor"/>
      </rPr>
      <t>e associated with the production of the imported electricity.</t>
    </r>
  </si>
  <si>
    <t>Total Non-Covered Emissions</t>
  </si>
  <si>
    <t>This column displays "Non-Covered Emissions" computed by ARB, which are emission sources specifically excluded from having a compliance obligation under sections 95852 through 95852.2 of the Cap-and-Trade Regulation. If this column is zero, none of the reported emissions are "non-covered" (i.e., exempt). If an entity is not subject to the Cap-and-Trade Program, all emissions are considered non-covered.</t>
  </si>
  <si>
    <r>
      <rPr>
        <b/>
        <sz val="11"/>
        <color theme="1"/>
        <rFont val="Calibri"/>
        <family val="2"/>
        <scheme val="minor"/>
      </rPr>
      <t>Not Verified</t>
    </r>
    <r>
      <rPr>
        <sz val="11"/>
        <color theme="1"/>
        <rFont val="Calibri"/>
        <family val="2"/>
        <scheme val="minor"/>
      </rPr>
      <t xml:space="preserve"> means that the emissions data report was required to be verified by an ARB-accredited third-party verifier, but was not.</t>
    </r>
  </si>
  <si>
    <r>
      <rPr>
        <b/>
        <sz val="11"/>
        <color theme="1"/>
        <rFont val="Calibri"/>
        <family val="2"/>
        <scheme val="minor"/>
      </rPr>
      <t>N/A</t>
    </r>
    <r>
      <rPr>
        <sz val="11"/>
        <color theme="1"/>
        <rFont val="Calibri"/>
        <family val="2"/>
        <scheme val="minor"/>
      </rPr>
      <t xml:space="preserve"> means that product data were not required to be reported by the facility or entity. Therefore a verification statement for product data is not applicable for the report.</t>
    </r>
  </si>
  <si>
    <r>
      <t>A finding of</t>
    </r>
    <r>
      <rPr>
        <b/>
        <sz val="11"/>
        <color theme="1"/>
        <rFont val="Calibri"/>
        <family val="2"/>
        <scheme val="minor"/>
      </rPr>
      <t xml:space="preserve"> “Adverse”</t>
    </r>
    <r>
      <rPr>
        <sz val="11"/>
        <color theme="1"/>
        <rFont val="Calibri"/>
        <family val="2"/>
        <scheme val="minor"/>
      </rPr>
      <t xml:space="preserve"> means a verification body has attested that it cannot say with reasonable assurance that the product data reported is free of errors greater than 5% </t>
    </r>
    <r>
      <rPr>
        <u/>
        <sz val="11"/>
        <color theme="1"/>
        <rFont val="Calibri"/>
        <family val="2"/>
        <scheme val="minor"/>
      </rPr>
      <t>or</t>
    </r>
    <r>
      <rPr>
        <sz val="11"/>
        <color theme="1"/>
        <rFont val="Calibri"/>
        <family val="2"/>
        <scheme val="minor"/>
      </rPr>
      <t xml:space="preserve"> a verification body has attested the report contains one or more correctable emissions data errors that were not corrected, requiring an adverse finding  under sections 95102(a)(7) and 95131(b)(9) of the Regulation.</t>
    </r>
    <r>
      <rPr>
        <b/>
        <sz val="11"/>
        <color theme="1"/>
        <rFont val="Calibri"/>
        <family val="2"/>
        <scheme val="minor"/>
      </rPr>
      <t/>
    </r>
  </si>
  <si>
    <t xml:space="preserve">This column displays the ARB-accredited verification body that verified the GHG emissions data report.  </t>
  </si>
  <si>
    <t>This column displays city location of facility or reporting entity, as reported.</t>
  </si>
  <si>
    <t>This column displays state location of facility or reporting entity, as reported.</t>
  </si>
  <si>
    <t>This column displays zip code of facility or reporting entity, as reported.</t>
  </si>
  <si>
    <r>
      <rPr>
        <b/>
        <sz val="11"/>
        <color theme="1"/>
        <rFont val="Calibri"/>
        <family val="2"/>
        <scheme val="minor"/>
      </rPr>
      <t>Not Verified</t>
    </r>
    <r>
      <rPr>
        <sz val="11"/>
        <color theme="1"/>
        <rFont val="Calibri"/>
        <family val="2"/>
        <scheme val="minor"/>
      </rPr>
      <t xml:space="preserve"> means that required product data was required to be verified by an ARB-accredited third-party verifier, but was not.</t>
    </r>
  </si>
  <si>
    <r>
      <t>A finding of</t>
    </r>
    <r>
      <rPr>
        <b/>
        <sz val="11"/>
        <color theme="1"/>
        <rFont val="Calibri"/>
        <family val="2"/>
        <scheme val="minor"/>
      </rPr>
      <t xml:space="preserve"> “Adverse”</t>
    </r>
    <r>
      <rPr>
        <sz val="11"/>
        <color theme="1"/>
        <rFont val="Calibri"/>
        <family val="2"/>
        <scheme val="minor"/>
      </rPr>
      <t xml:space="preserve"> means a verification body has attested that it cannot say with reasonable assurance that the total covered emissions reported is free of errors greater than 5% </t>
    </r>
    <r>
      <rPr>
        <u/>
        <sz val="11"/>
        <color theme="1"/>
        <rFont val="Calibri"/>
        <family val="2"/>
        <scheme val="minor"/>
      </rPr>
      <t>or</t>
    </r>
    <r>
      <rPr>
        <sz val="11"/>
        <color theme="1"/>
        <rFont val="Calibri"/>
        <family val="2"/>
        <scheme val="minor"/>
      </rPr>
      <t xml:space="preserve"> a verification body has attested the report contains one or more correctable emissions data errors that were not corrected, requiring an adverse finding  under sections 95102(a)(7) and 95131(b)(9) of the Regulation.</t>
    </r>
    <r>
      <rPr>
        <b/>
        <sz val="11"/>
        <color theme="1"/>
        <rFont val="Calibri"/>
        <family val="2"/>
        <scheme val="minor"/>
      </rPr>
      <t/>
    </r>
  </si>
  <si>
    <t>Facility or Entity Address</t>
  </si>
  <si>
    <t>This column displays general industry sectors included by ARB to aid in grouping and summarizing major source categories. More than one category is displayed if the entity reported under multiple sectors.</t>
  </si>
  <si>
    <t>This column displays the verification status for a certified  facility emissions data report reviewed by an ARB-accredited third-party verifier.</t>
  </si>
  <si>
    <t xml:space="preserve">This column displays the North American Industry Classification System code and description as reported.  </t>
  </si>
  <si>
    <t>Listed facilities and entities can change from year to year due to shutdowns, startups, and changes in emissions that affect applicability under MRR. This affects both the number of facilities and emissions totals.</t>
  </si>
  <si>
    <t>Data summarized in this spreadsheet are from facilities and entities subject to MRR and does not include all California GHG emissions sources, such as mobile sources. An overall statewide inventory of all GHG sources is available here: http://www.arb.ca.gov/cc/inventory/data/data.htm</t>
  </si>
  <si>
    <r>
      <t>This column displays "covered" emissions reported by electricity importers (i.e., electric power entities), which represents the total covered emissions, computed as CO</t>
    </r>
    <r>
      <rPr>
        <vertAlign val="subscript"/>
        <sz val="11"/>
        <color theme="1"/>
        <rFont val="Calibri"/>
        <family val="2"/>
        <scheme val="minor"/>
      </rPr>
      <t>2</t>
    </r>
    <r>
      <rPr>
        <sz val="11"/>
        <color theme="1"/>
        <rFont val="Calibri"/>
        <family val="2"/>
        <scheme val="minor"/>
      </rPr>
      <t>e, associated with the production of the imported electricity.  These emissions are subject to a compliance obligation beginning in 2013.</t>
    </r>
  </si>
  <si>
    <t>Product data is required to be reported for specific industrial sectors. Product data is not included in this report because it may include confidential business information that will not be publically released. However, the verification statement for the product data is included to indicate if the submitted product data were complete and accurate.</t>
  </si>
  <si>
    <t xml:space="preserve">The following five columns are computed by ARB to determine "covered" and "non-covered" emissions as it pertains to the Cap-and-Trade Program. If ARB computed an AEL for the facility (see description in Column G), this AEL value is used as the basis for the covered and non-covered emissions, otherwise the facility reported data are used for the calculations. </t>
  </si>
  <si>
    <t>U</t>
  </si>
  <si>
    <t>Y</t>
  </si>
  <si>
    <t>M</t>
  </si>
  <si>
    <t>S</t>
  </si>
  <si>
    <t>AD</t>
  </si>
  <si>
    <r>
      <rPr>
        <b/>
        <sz val="11"/>
        <color theme="1"/>
        <rFont val="Calibri"/>
        <family val="2"/>
        <scheme val="minor"/>
      </rPr>
      <t>N/A</t>
    </r>
    <r>
      <rPr>
        <sz val="11"/>
        <color theme="1"/>
        <rFont val="Calibri"/>
        <family val="2"/>
        <scheme val="minor"/>
      </rPr>
      <t xml:space="preserve"> means that the emissions data report was not required to be verified. Typically, this applies to facilities or entities reporting less than 25,000 metric tons CO</t>
    </r>
    <r>
      <rPr>
        <vertAlign val="subscript"/>
        <sz val="11"/>
        <color theme="1"/>
        <rFont val="Calibri"/>
        <family val="2"/>
        <scheme val="minor"/>
      </rPr>
      <t>2</t>
    </r>
    <r>
      <rPr>
        <sz val="11"/>
        <color theme="1"/>
        <rFont val="Calibri"/>
        <family val="2"/>
        <scheme val="minor"/>
      </rPr>
      <t>e, as well as electricity retail providers that do not import or export electricity.</t>
    </r>
    <r>
      <rPr>
        <b/>
        <sz val="11"/>
        <color theme="1"/>
        <rFont val="Calibri"/>
        <family val="2"/>
        <scheme val="minor"/>
      </rPr>
      <t/>
    </r>
  </si>
  <si>
    <t>This column displays the summed total of the covered emissions in columns O, P, and Q.  This value represents the combined covered emissions for reporting entities (including fuel suppliers), which will be the basis for compliance obligation in the Cap-and-Trade Program beginning with 2015 data. If this column has a zero, none of the reported emissions are "covered."</t>
  </si>
  <si>
    <t>MRR includes applicability, reporting requirements, estimation methods, and verification requirements. Because of regulation changes that became effective after January 1, 2012, reports for 2011 data and onward will have differences from the historical 2008-2010 data because of changes in the reporting requirements.</t>
  </si>
  <si>
    <r>
      <t>This column, calculated by ARB based on the reported data, shows: a) the sum of reported CO</t>
    </r>
    <r>
      <rPr>
        <vertAlign val="subscript"/>
        <sz val="11"/>
        <color theme="1"/>
        <rFont val="Calibri"/>
        <family val="2"/>
        <scheme val="minor"/>
      </rPr>
      <t>2</t>
    </r>
    <r>
      <rPr>
        <sz val="11"/>
        <color theme="1"/>
        <rFont val="Calibri"/>
        <family val="2"/>
        <scheme val="minor"/>
      </rPr>
      <t xml:space="preserve">e from stationary combustion of fossil fuels and biomass-derived fuels, process and vented emissions, geothermal emissions, emissions associated with imported electricity, and emissions associated with final combustion of fuel reported by fuel suppliers, </t>
    </r>
    <r>
      <rPr>
        <u/>
        <sz val="11"/>
        <color theme="1"/>
        <rFont val="Calibri"/>
        <family val="2"/>
        <scheme val="minor"/>
      </rPr>
      <t>or</t>
    </r>
    <r>
      <rPr>
        <sz val="11"/>
        <color theme="1"/>
        <rFont val="Calibri"/>
        <family val="2"/>
        <scheme val="minor"/>
      </rPr>
      <t xml:space="preserve"> b) total emissions assigned by ARB staff, when required by the reporting regulation (see AEL, below), which includes all elements listed in "a)" as applicable.  In some instances, the total emissions may be zero.  This indicates the reporting entity is an electricity retail provider, who only needs to report (and not verify) MWh, or the reporting entity or facility had no reportable emissions for the year.</t>
    </r>
  </si>
  <si>
    <r>
      <t>Emitter CO2</t>
    </r>
    <r>
      <rPr>
        <b/>
        <vertAlign val="subscript"/>
        <sz val="11"/>
        <color theme="0"/>
        <rFont val="Calibri"/>
        <family val="2"/>
      </rPr>
      <t>e</t>
    </r>
    <r>
      <rPr>
        <b/>
        <sz val="11"/>
        <color theme="0"/>
        <rFont val="Calibri"/>
        <family val="2"/>
      </rPr>
      <t xml:space="preserve"> from Non-Biogenic Sources and CH</t>
    </r>
    <r>
      <rPr>
        <b/>
        <vertAlign val="subscript"/>
        <sz val="11"/>
        <color theme="0"/>
        <rFont val="Calibri"/>
        <family val="2"/>
      </rPr>
      <t>4</t>
    </r>
    <r>
      <rPr>
        <b/>
        <sz val="11"/>
        <color theme="0"/>
        <rFont val="Calibri"/>
        <family val="2"/>
      </rPr>
      <t xml:space="preserve"> and N</t>
    </r>
    <r>
      <rPr>
        <b/>
        <vertAlign val="subscript"/>
        <sz val="11"/>
        <color theme="0"/>
        <rFont val="Calibri"/>
        <family val="2"/>
      </rPr>
      <t>2</t>
    </r>
    <r>
      <rPr>
        <b/>
        <sz val="11"/>
        <color theme="0"/>
        <rFont val="Calibri"/>
        <family val="2"/>
      </rPr>
      <t>O from Biogenic Fuels</t>
    </r>
  </si>
  <si>
    <r>
      <t>Fuel Supplier CO2</t>
    </r>
    <r>
      <rPr>
        <b/>
        <vertAlign val="subscript"/>
        <sz val="11"/>
        <color theme="0"/>
        <rFont val="Calibri"/>
        <family val="2"/>
      </rPr>
      <t>e</t>
    </r>
    <r>
      <rPr>
        <b/>
        <sz val="11"/>
        <color theme="0"/>
        <rFont val="Calibri"/>
        <family val="2"/>
      </rPr>
      <t xml:space="preserve"> from Non-Biogenic Fuels and CH</t>
    </r>
    <r>
      <rPr>
        <b/>
        <vertAlign val="subscript"/>
        <sz val="11"/>
        <color theme="0"/>
        <rFont val="Calibri"/>
        <family val="2"/>
      </rPr>
      <t>4</t>
    </r>
    <r>
      <rPr>
        <b/>
        <sz val="11"/>
        <color theme="0"/>
        <rFont val="Calibri"/>
        <family val="2"/>
      </rPr>
      <t xml:space="preserve"> and N</t>
    </r>
    <r>
      <rPr>
        <b/>
        <vertAlign val="subscript"/>
        <sz val="11"/>
        <color theme="0"/>
        <rFont val="Calibri"/>
        <family val="2"/>
      </rPr>
      <t>2</t>
    </r>
    <r>
      <rPr>
        <b/>
        <sz val="11"/>
        <color theme="0"/>
        <rFont val="Calibri"/>
        <family val="2"/>
      </rPr>
      <t>O from Biogenic Fuels</t>
    </r>
  </si>
  <si>
    <r>
      <t>Fuel Supplier CO</t>
    </r>
    <r>
      <rPr>
        <b/>
        <vertAlign val="subscript"/>
        <sz val="11"/>
        <color theme="0"/>
        <rFont val="Calibri"/>
        <family val="2"/>
      </rPr>
      <t>2</t>
    </r>
    <r>
      <rPr>
        <b/>
        <sz val="11"/>
        <color theme="0"/>
        <rFont val="Calibri"/>
        <family val="2"/>
      </rPr>
      <t xml:space="preserve"> from Biogenic Fuels</t>
    </r>
  </si>
  <si>
    <r>
      <t>This column displays non-biogenic (fossil fuel) emissions that would result from the complete combustion of all reportable fossil fuels supplied, as reported by suppliers of transportation fuels, natural gas, natural gas liquids, and liquefied natural gas. This column also includes CH</t>
    </r>
    <r>
      <rPr>
        <vertAlign val="subscript"/>
        <sz val="11"/>
        <rFont val="Calibri"/>
        <family val="2"/>
        <scheme val="minor"/>
      </rPr>
      <t>4</t>
    </r>
    <r>
      <rPr>
        <sz val="11"/>
        <rFont val="Calibri"/>
        <family val="2"/>
        <scheme val="minor"/>
      </rPr>
      <t xml:space="preserve"> and N</t>
    </r>
    <r>
      <rPr>
        <vertAlign val="subscript"/>
        <sz val="11"/>
        <rFont val="Calibri"/>
        <family val="2"/>
        <scheme val="minor"/>
      </rPr>
      <t>2</t>
    </r>
    <r>
      <rPr>
        <sz val="11"/>
        <rFont val="Calibri"/>
        <family val="2"/>
        <scheme val="minor"/>
      </rPr>
      <t>O emissions (converted to CO</t>
    </r>
    <r>
      <rPr>
        <vertAlign val="subscript"/>
        <sz val="11"/>
        <rFont val="Calibri"/>
        <family val="2"/>
        <scheme val="minor"/>
      </rPr>
      <t>2</t>
    </r>
    <r>
      <rPr>
        <sz val="11"/>
        <rFont val="Calibri"/>
        <family val="2"/>
        <scheme val="minor"/>
      </rPr>
      <t>e using global warming potentials) from biogenic fuel combustion.</t>
    </r>
  </si>
  <si>
    <r>
      <t>This column displays biogenic CO</t>
    </r>
    <r>
      <rPr>
        <vertAlign val="subscript"/>
        <sz val="11"/>
        <rFont val="Calibri"/>
        <family val="2"/>
        <scheme val="minor"/>
      </rPr>
      <t>2</t>
    </r>
    <r>
      <rPr>
        <sz val="11"/>
        <rFont val="Calibri"/>
        <family val="2"/>
        <scheme val="minor"/>
      </rPr>
      <t xml:space="preserve"> emissions that would result from the complete combustion of all reportable biogenic fuels supplied, as reported by suppliers of transportation fuels, natural gas, natural gas liquids, and liquefied natural gas. CH</t>
    </r>
    <r>
      <rPr>
        <vertAlign val="subscript"/>
        <sz val="11"/>
        <rFont val="Calibri"/>
        <family val="2"/>
        <scheme val="minor"/>
      </rPr>
      <t>4</t>
    </r>
    <r>
      <rPr>
        <sz val="11"/>
        <rFont val="Calibri"/>
        <family val="2"/>
        <scheme val="minor"/>
      </rPr>
      <t xml:space="preserve"> and N</t>
    </r>
    <r>
      <rPr>
        <vertAlign val="subscript"/>
        <sz val="11"/>
        <rFont val="Calibri"/>
        <family val="2"/>
        <scheme val="minor"/>
      </rPr>
      <t>2</t>
    </r>
    <r>
      <rPr>
        <sz val="11"/>
        <rFont val="Calibri"/>
        <family val="2"/>
        <scheme val="minor"/>
      </rPr>
      <t>O emissions from biogenic fuel combustion is included in Column K.</t>
    </r>
  </si>
  <si>
    <r>
      <t>Estimated Covered CO</t>
    </r>
    <r>
      <rPr>
        <vertAlign val="subscript"/>
        <sz val="11"/>
        <color theme="1"/>
        <rFont val="Calibri"/>
        <family val="2"/>
      </rPr>
      <t>2</t>
    </r>
    <r>
      <rPr>
        <sz val="11"/>
        <color theme="1"/>
        <rFont val="Calibri"/>
        <family val="2"/>
      </rPr>
      <t xml:space="preserve"> Equivalent Emissions is an estimate of the reporter’s compliance obligation under sections 95852 through 95852.2 of the Cap-and-Trade Regulation based on the data reported in Cal e-GGRT (regardless of whether the Cap-and-Trade Regulation imposes a compliance obligation for the Report Year).  The final compliance obligation for the reporter for the Report Year may vary from this estimate based on further review for data accuracy or, in limited cases, an assigned emissions level per section 95131 of the Mandatory Reporting Regulation.  Covered emissions are equal to the Total CO</t>
    </r>
    <r>
      <rPr>
        <vertAlign val="subscript"/>
        <sz val="11"/>
        <color theme="1"/>
        <rFont val="Calibri"/>
        <family val="2"/>
      </rPr>
      <t>2</t>
    </r>
    <r>
      <rPr>
        <sz val="11"/>
        <color theme="1"/>
        <rFont val="Calibri"/>
        <family val="2"/>
      </rPr>
      <t>e emissions minus emissions that are not considered covered emissions (such as CO</t>
    </r>
    <r>
      <rPr>
        <vertAlign val="subscript"/>
        <sz val="11"/>
        <color theme="1"/>
        <rFont val="Calibri"/>
        <family val="2"/>
      </rPr>
      <t>2</t>
    </r>
    <r>
      <rPr>
        <sz val="11"/>
        <color theme="1"/>
        <rFont val="Calibri"/>
        <family val="2"/>
      </rPr>
      <t xml:space="preserve"> emissions from biogenic fuel combustion that is exempt under the Cap-and-Trade Regulation).  Covered emissions are only displayed for reporters subject to the Cap-and-Trade Regulation, and a value of "0" is displayed for reporters who do not have covered emissions under the Cap-and-Trade Regulation, including facilities emitting &lt;25,000 metric tons of covered CO</t>
    </r>
    <r>
      <rPr>
        <vertAlign val="subscript"/>
        <sz val="11"/>
        <color theme="1"/>
        <rFont val="Calibri"/>
        <family val="2"/>
      </rPr>
      <t>2</t>
    </r>
    <r>
      <rPr>
        <sz val="11"/>
        <color theme="1"/>
        <rFont val="Calibri"/>
        <family val="2"/>
      </rPr>
      <t>e emissions that are not opt-in facilities.  A value of “N/A” means the data reported in Cal e-GGRT are insufficient to estimate covered emissions.</t>
    </r>
  </si>
  <si>
    <r>
      <t xml:space="preserve">This column displays "covered" emissions resulting from the combustion of fossil fuels, chemical and physical processes, vented emissions, emissions from </t>
    </r>
    <r>
      <rPr>
        <sz val="11"/>
        <color theme="1"/>
        <rFont val="Calibri"/>
        <family val="2"/>
      </rPr>
      <t>biogenic fuel combustion</t>
    </r>
    <r>
      <rPr>
        <sz val="11"/>
        <color rgb="FF000000"/>
        <rFont val="Calibri"/>
        <family val="2"/>
      </rPr>
      <t xml:space="preserve"> that do not meet the exemption criteria under the Cap-and-Trade Regulation, and emissions from suppliers of carbon dioxide.  This column displays computed covered emissions that are subject to a compliance obligation beginning in 2013. </t>
    </r>
  </si>
  <si>
    <r>
      <t xml:space="preserve">This column displays "covered" emissions reported by suppliers of transportation fuels (RBOB/CARBOB and distillate fuel oils), natural gas, natural gas liquids, liquefied natural gas, and emissions from </t>
    </r>
    <r>
      <rPr>
        <sz val="11"/>
        <color theme="1"/>
        <rFont val="Calibri"/>
        <family val="2"/>
      </rPr>
      <t>biogenic fuel combustion</t>
    </r>
    <r>
      <rPr>
        <sz val="11"/>
        <color rgb="FF000000"/>
        <rFont val="Calibri"/>
        <family val="2"/>
      </rPr>
      <t xml:space="preserve"> that do not meet the exemption criteria under the Cap-and-Trade Regulation. This field represents the emissions that would result from the complete combustion of all reportable fuels supplied that are not exempt under the Cap-and-Trade Regulation.  This column displays computed covered emissions that are subject to a compliance obligation beginning in </t>
    </r>
    <r>
      <rPr>
        <sz val="11"/>
        <color theme="1"/>
        <rFont val="Calibri"/>
        <family val="2"/>
      </rPr>
      <t xml:space="preserve">2015. </t>
    </r>
  </si>
  <si>
    <r>
      <t>Emitter CO</t>
    </r>
    <r>
      <rPr>
        <b/>
        <vertAlign val="subscript"/>
        <sz val="11"/>
        <color theme="0"/>
        <rFont val="Calibri"/>
        <family val="2"/>
      </rPr>
      <t>2</t>
    </r>
    <r>
      <rPr>
        <b/>
        <sz val="11"/>
        <color theme="0"/>
        <rFont val="Calibri"/>
        <family val="2"/>
      </rPr>
      <t xml:space="preserve"> from Biogenic Fuels</t>
    </r>
  </si>
  <si>
    <r>
      <t>Emitter CO</t>
    </r>
    <r>
      <rPr>
        <vertAlign val="subscript"/>
        <sz val="11"/>
        <color theme="1"/>
        <rFont val="Calibri"/>
        <family val="2"/>
        <scheme val="minor"/>
      </rPr>
      <t>2</t>
    </r>
    <r>
      <rPr>
        <sz val="11"/>
        <color theme="1"/>
        <rFont val="Calibri"/>
        <family val="2"/>
        <scheme val="minor"/>
      </rPr>
      <t xml:space="preserve"> from Biogenic Fuels</t>
    </r>
  </si>
  <si>
    <r>
      <t xml:space="preserve">Designations of </t>
    </r>
    <r>
      <rPr>
        <b/>
        <sz val="11"/>
        <rFont val="Calibri"/>
        <family val="2"/>
        <scheme val="minor"/>
      </rPr>
      <t xml:space="preserve">"Positive (late verif.)" </t>
    </r>
    <r>
      <rPr>
        <sz val="11"/>
        <rFont val="Calibri"/>
        <family val="2"/>
        <scheme val="minor"/>
      </rPr>
      <t xml:space="preserve">or </t>
    </r>
    <r>
      <rPr>
        <b/>
        <sz val="11"/>
        <rFont val="Calibri"/>
        <family val="2"/>
        <scheme val="minor"/>
      </rPr>
      <t>"Qualified Positive (late verif.)"</t>
    </r>
    <r>
      <rPr>
        <sz val="11"/>
        <rFont val="Calibri"/>
        <family val="2"/>
        <scheme val="minor"/>
      </rPr>
      <t xml:space="preserve"> mean that the report was verified after the verification deadline and received a positive or qualified positive verification statement. Designations of </t>
    </r>
    <r>
      <rPr>
        <b/>
        <sz val="11"/>
        <rFont val="Calibri"/>
        <family val="2"/>
        <scheme val="minor"/>
      </rPr>
      <t>"Positive (revised)"</t>
    </r>
    <r>
      <rPr>
        <sz val="11"/>
        <rFont val="Calibri"/>
        <family val="2"/>
        <scheme val="minor"/>
      </rPr>
      <t xml:space="preserve"> or </t>
    </r>
    <r>
      <rPr>
        <b/>
        <sz val="11"/>
        <rFont val="Calibri"/>
        <family val="2"/>
        <scheme val="minor"/>
      </rPr>
      <t>"Qualified Positive (revised)"</t>
    </r>
    <r>
      <rPr>
        <sz val="11"/>
        <rFont val="Calibri"/>
        <family val="2"/>
        <scheme val="minor"/>
      </rPr>
      <t xml:space="preserve"> means that the emissions data were revised through the set aside process pursuant to section 95131(e) of MRR.</t>
    </r>
  </si>
  <si>
    <r>
      <t xml:space="preserve">Designations of </t>
    </r>
    <r>
      <rPr>
        <b/>
        <sz val="11"/>
        <rFont val="Calibri"/>
        <family val="2"/>
        <scheme val="minor"/>
      </rPr>
      <t xml:space="preserve">"Positive (late verif.)" </t>
    </r>
    <r>
      <rPr>
        <sz val="11"/>
        <rFont val="Calibri"/>
        <family val="2"/>
        <scheme val="minor"/>
      </rPr>
      <t xml:space="preserve">or </t>
    </r>
    <r>
      <rPr>
        <b/>
        <sz val="11"/>
        <rFont val="Calibri"/>
        <family val="2"/>
        <scheme val="minor"/>
      </rPr>
      <t>"Qualified Positive (late verif.)"</t>
    </r>
    <r>
      <rPr>
        <sz val="11"/>
        <rFont val="Calibri"/>
        <family val="2"/>
        <scheme val="minor"/>
      </rPr>
      <t xml:space="preserve"> mean that the report was verified after the verification deadline and received a positive or qualified positive verification statement for product data. Designations of </t>
    </r>
    <r>
      <rPr>
        <b/>
        <sz val="11"/>
        <rFont val="Calibri"/>
        <family val="2"/>
        <scheme val="minor"/>
      </rPr>
      <t>"Positive (revised)"</t>
    </r>
    <r>
      <rPr>
        <sz val="11"/>
        <rFont val="Calibri"/>
        <family val="2"/>
        <scheme val="minor"/>
      </rPr>
      <t xml:space="preserve"> or </t>
    </r>
    <r>
      <rPr>
        <b/>
        <sz val="11"/>
        <rFont val="Calibri"/>
        <family val="2"/>
        <scheme val="minor"/>
      </rPr>
      <t>"Qualified Positive (revised)"</t>
    </r>
    <r>
      <rPr>
        <sz val="11"/>
        <rFont val="Calibri"/>
        <family val="2"/>
        <scheme val="minor"/>
      </rPr>
      <t xml:space="preserve"> means that the product data were revised through the set aside process pursuant to section 95131(e) of MRR.</t>
    </r>
  </si>
  <si>
    <r>
      <t>Emitter CO</t>
    </r>
    <r>
      <rPr>
        <vertAlign val="subscript"/>
        <sz val="11"/>
        <color theme="1"/>
        <rFont val="Calibri"/>
        <family val="2"/>
        <scheme val="minor"/>
      </rPr>
      <t>2</t>
    </r>
    <r>
      <rPr>
        <sz val="11"/>
        <color theme="1"/>
        <rFont val="Calibri"/>
        <family val="2"/>
        <scheme val="minor"/>
      </rPr>
      <t>e from Non-Biogenic Sources and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from Biogenic Fuels</t>
    </r>
  </si>
  <si>
    <r>
      <t>Fuel Supplier CO</t>
    </r>
    <r>
      <rPr>
        <vertAlign val="subscript"/>
        <sz val="11"/>
        <color theme="1"/>
        <rFont val="Calibri"/>
        <family val="2"/>
        <scheme val="minor"/>
      </rPr>
      <t>2</t>
    </r>
    <r>
      <rPr>
        <sz val="11"/>
        <color theme="1"/>
        <rFont val="Calibri"/>
        <family val="2"/>
        <scheme val="minor"/>
      </rPr>
      <t>e from Non-Biogenic Fuels and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from Biogenic Fuels</t>
    </r>
  </si>
  <si>
    <r>
      <t>Fuel Supplier CO</t>
    </r>
    <r>
      <rPr>
        <vertAlign val="subscript"/>
        <sz val="11"/>
        <color theme="1"/>
        <rFont val="Calibri"/>
        <family val="2"/>
        <scheme val="minor"/>
      </rPr>
      <t>2</t>
    </r>
    <r>
      <rPr>
        <sz val="11"/>
        <color theme="1"/>
        <rFont val="Calibri"/>
        <family val="2"/>
        <scheme val="minor"/>
      </rPr>
      <t xml:space="preserve"> from Biogenic Fuels</t>
    </r>
  </si>
  <si>
    <r>
      <t>Total Emissions (Metric Tons CO</t>
    </r>
    <r>
      <rPr>
        <b/>
        <vertAlign val="subscript"/>
        <sz val="11"/>
        <color theme="1"/>
        <rFont val="Calibri"/>
        <family val="2"/>
        <scheme val="minor"/>
      </rPr>
      <t>2</t>
    </r>
    <r>
      <rPr>
        <b/>
        <sz val="11"/>
        <color theme="1"/>
        <rFont val="Calibri"/>
        <family val="2"/>
        <scheme val="minor"/>
      </rPr>
      <t>e)</t>
    </r>
  </si>
  <si>
    <r>
      <t>ARB Calculated Covered Emissions (metric tons CO</t>
    </r>
    <r>
      <rPr>
        <b/>
        <vertAlign val="subscript"/>
        <sz val="11"/>
        <color theme="1"/>
        <rFont val="Calibri"/>
        <family val="2"/>
        <scheme val="minor"/>
      </rPr>
      <t>2</t>
    </r>
    <r>
      <rPr>
        <b/>
        <sz val="11"/>
        <color theme="1"/>
        <rFont val="Calibri"/>
        <family val="2"/>
        <scheme val="minor"/>
      </rPr>
      <t>e)</t>
    </r>
  </si>
  <si>
    <r>
      <t xml:space="preserve">This column displays direct emissions resulting from the combustion of fossil fuels, chemical and physical processes, vented emissions, geothermal emissions, </t>
    </r>
    <r>
      <rPr>
        <sz val="11"/>
        <color theme="1"/>
        <rFont val="Calibri"/>
        <family val="2"/>
        <scheme val="minor"/>
      </rPr>
      <t>and emissions from suppliers of carbon dioxide.  This column also includes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emissions (converted to CO</t>
    </r>
    <r>
      <rPr>
        <vertAlign val="subscript"/>
        <sz val="11"/>
        <color theme="1"/>
        <rFont val="Calibri"/>
        <family val="2"/>
        <scheme val="minor"/>
      </rPr>
      <t>2</t>
    </r>
    <r>
      <rPr>
        <sz val="11"/>
        <color theme="1"/>
        <rFont val="Calibri"/>
        <family val="2"/>
        <scheme val="minor"/>
      </rPr>
      <t>e using global warming potentials) from biogenic fuel combustion.</t>
    </r>
  </si>
  <si>
    <t xml:space="preserve">The data displayed as "covered emissions" may not represent compliance obligations in the Cap-and-Trade Program. </t>
  </si>
  <si>
    <r>
      <t>A display of "AEL = No" indicates if the Total CO</t>
    </r>
    <r>
      <rPr>
        <vertAlign val="subscript"/>
        <sz val="11"/>
        <color theme="1"/>
        <rFont val="Calibri"/>
        <family val="2"/>
        <scheme val="minor"/>
      </rPr>
      <t>2</t>
    </r>
    <r>
      <rPr>
        <sz val="11"/>
        <color theme="1"/>
        <rFont val="Calibri"/>
        <family val="2"/>
        <scheme val="minor"/>
      </rPr>
      <t>e displayed is strictly based on data submitted by the reporter. If the "AEL = Yes," the Total CO</t>
    </r>
    <r>
      <rPr>
        <vertAlign val="subscript"/>
        <sz val="11"/>
        <color theme="1"/>
        <rFont val="Calibri"/>
        <family val="2"/>
        <scheme val="minor"/>
      </rPr>
      <t>2</t>
    </r>
    <r>
      <rPr>
        <sz val="11"/>
        <color theme="1"/>
        <rFont val="Calibri"/>
        <family val="2"/>
        <scheme val="minor"/>
      </rPr>
      <t>e displayed is an Assigned Emissions Level (AEL) computed by ARB staff, pursuant to section 95103(g) of the Mandatory Reporting Regulation.  Under this provision, ARB Executive Officer must develop an AEL for reporting entities that fail to submit an emissions data report, fail to obtain a positive or qualified positive emissions data verification statement, or fail to have the report verified by the applicable deadline.  A "Yes" value in the AEL column indicates that ARB assigned an emissions level for the report. An AEL is only assigned for reports that are subject to verification.</t>
    </r>
  </si>
  <si>
    <r>
      <t>Emissions shown are as entered into the Cal e-GGRT reporting tool by the reporter. If ARB made modifications to the emissions under the AEL provisions described in Column G, those updates are not displayed in the following four columns. If an AEL was computed, the sum of the facility reported data may not be the same as the Total CO</t>
    </r>
    <r>
      <rPr>
        <vertAlign val="subscript"/>
        <sz val="11"/>
        <color theme="1"/>
        <rFont val="Calibri"/>
        <family val="2"/>
        <scheme val="minor"/>
      </rPr>
      <t>2</t>
    </r>
    <r>
      <rPr>
        <sz val="11"/>
        <color theme="1"/>
        <rFont val="Calibri"/>
        <family val="2"/>
        <scheme val="minor"/>
      </rPr>
      <t>e value.</t>
    </r>
  </si>
  <si>
    <t>Annual Summary of 2016 Greenhouse Gas Emissions Data 
Reported to the California Air Resources Board</t>
  </si>
  <si>
    <r>
      <t xml:space="preserve">This spreadsheet includes three tabs: 
   1) </t>
    </r>
    <r>
      <rPr>
        <b/>
        <sz val="11"/>
        <color theme="1"/>
        <rFont val="Calibri"/>
        <family val="2"/>
        <scheme val="minor"/>
      </rPr>
      <t>"Introduction"</t>
    </r>
    <r>
      <rPr>
        <sz val="11"/>
        <color theme="1"/>
        <rFont val="Calibri"/>
        <family val="2"/>
        <scheme val="minor"/>
      </rPr>
      <t xml:space="preserve"> (this tab), provides an overview of the included data; 
   2) </t>
    </r>
    <r>
      <rPr>
        <b/>
        <sz val="11"/>
        <color theme="1"/>
        <rFont val="Calibri"/>
        <family val="2"/>
        <scheme val="minor"/>
      </rPr>
      <t>"Column Descriptions"</t>
    </r>
    <r>
      <rPr>
        <sz val="11"/>
        <color theme="1"/>
        <rFont val="Calibri"/>
        <family val="2"/>
        <scheme val="minor"/>
      </rPr>
      <t xml:space="preserve"> provides a description of each data column provided in the GHG Data tab;  and
   3) </t>
    </r>
    <r>
      <rPr>
        <b/>
        <sz val="11"/>
        <color theme="1"/>
        <rFont val="Calibri"/>
        <family val="2"/>
        <scheme val="minor"/>
      </rPr>
      <t>"2016 GHG Data"</t>
    </r>
    <r>
      <rPr>
        <sz val="11"/>
        <color theme="1"/>
        <rFont val="Calibri"/>
        <family val="2"/>
        <scheme val="minor"/>
      </rPr>
      <t xml:space="preserve"> provides a summary of annual emissions data reported under the California greenhouse 
        gas mandatory reporting regulation.</t>
    </r>
  </si>
  <si>
    <t>A majority of the emissions data reports were subject to verification by ARB-accredited third-party verifiers. The outcome of the verification is displayed in the "2016 GHG Data" spreadsheet.</t>
  </si>
  <si>
    <t>The total 2016 emissions subject to a compliance obligation in the Cap-and-Trade Program is shown in the “Total Covered Emissions” column in the "2016 GHG Data" tab.</t>
  </si>
  <si>
    <t>Column Descriptions
Annual Summary of GHG Mandatory Reporting Non-Confidential Data for Calendar Year 2016</t>
  </si>
  <si>
    <t>No</t>
  </si>
  <si>
    <t>N/A</t>
  </si>
  <si>
    <t>Stanford</t>
  </si>
  <si>
    <t>CA</t>
  </si>
  <si>
    <t>221112 - Fossil Fuel Electric Power Generation</t>
  </si>
  <si>
    <t>Cogeneration</t>
  </si>
  <si>
    <t>Sacramento</t>
  </si>
  <si>
    <t>924110 - Administration of Air and Water Resource and Solid Waste Management Programs</t>
  </si>
  <si>
    <t>EPE</t>
  </si>
  <si>
    <t>Electricity Importer</t>
  </si>
  <si>
    <t>Newport Coast</t>
  </si>
  <si>
    <t>221119 - Other Electric Power Generation</t>
  </si>
  <si>
    <t>In-State Electricity Generation</t>
  </si>
  <si>
    <t>Lodi</t>
  </si>
  <si>
    <t>311230 - Breakfast Cereal Manufacturing</t>
  </si>
  <si>
    <t>Other Combustion Source</t>
  </si>
  <si>
    <t>Chandler</t>
  </si>
  <si>
    <t>AZ</t>
  </si>
  <si>
    <t>424720 - Petroleum and Petroleum Products Merchant Wholesalers (except Bulk Stations and Terminals)</t>
  </si>
  <si>
    <t>MM</t>
  </si>
  <si>
    <t>Transportation Fuel Supplier</t>
  </si>
  <si>
    <t>Oakland</t>
  </si>
  <si>
    <t>327213 - Glass Container Manufacturing</t>
  </si>
  <si>
    <t>C,N</t>
  </si>
  <si>
    <t>South San Francisco</t>
  </si>
  <si>
    <t>Dagget</t>
  </si>
  <si>
    <t>3 Phases Renewables</t>
  </si>
  <si>
    <t>Positive</t>
  </si>
  <si>
    <t>Analytical Environmental Services</t>
  </si>
  <si>
    <t>El Segundo</t>
  </si>
  <si>
    <t>221122 - Electric Power Distribution</t>
  </si>
  <si>
    <t>3M Corona</t>
  </si>
  <si>
    <t>Corona</t>
  </si>
  <si>
    <t>212319 - Other Crushed and Broken Stone Mining and Quarrying</t>
  </si>
  <si>
    <t>ABI Foundry</t>
  </si>
  <si>
    <t>331511 - Iron Foundries</t>
  </si>
  <si>
    <t>Aemetis Advanced Fuels Keyes, Inc.</t>
  </si>
  <si>
    <t>Ceres</t>
  </si>
  <si>
    <t>325193 - Ethyl Alcohol Manufacturing</t>
  </si>
  <si>
    <t>Aera Energy Belridge Gas Plant 32</t>
  </si>
  <si>
    <t>Tetra Tech, Inc. and Subsidiaries</t>
  </si>
  <si>
    <t>McKittrick</t>
  </si>
  <si>
    <t>211111 - Crude Petroleum and Natural Gas Extraction</t>
  </si>
  <si>
    <t>C,NN,W</t>
  </si>
  <si>
    <t>Oil and Gas Production / Supplier of Natural Gas, NGL, or LPG</t>
  </si>
  <si>
    <t>Aera Energy Coastal Basins</t>
  </si>
  <si>
    <t>San Ardo</t>
  </si>
  <si>
    <t>C,W</t>
  </si>
  <si>
    <t>Oil and Gas Production</t>
  </si>
  <si>
    <t>Aera Energy San Joaquin Basin</t>
  </si>
  <si>
    <t>Bakersfield</t>
  </si>
  <si>
    <t>Aera Energy Ventura Basin (opt-in 2014)</t>
  </si>
  <si>
    <t>Ventura</t>
  </si>
  <si>
    <t>Aera Energy Ventura Gas Plant</t>
  </si>
  <si>
    <t>Aerojet Rocketdyne</t>
  </si>
  <si>
    <t>336415 - Guided Missile and Space Vehicle Propulsion Unit and Propulsion Unit Parts Manufacturing</t>
  </si>
  <si>
    <t>AES Alamitos, LLC</t>
  </si>
  <si>
    <t>Long Beach</t>
  </si>
  <si>
    <t>AES Huntington Beach, LLC</t>
  </si>
  <si>
    <t>Huntington Beach</t>
  </si>
  <si>
    <t>AES Redondo Beach LLC</t>
  </si>
  <si>
    <t>Redondo Beach</t>
  </si>
  <si>
    <t>Agera Energy LLC</t>
  </si>
  <si>
    <t>Briarcliff Maor</t>
  </si>
  <si>
    <t>NY</t>
  </si>
  <si>
    <t>Agron Bioenergy Fuels</t>
  </si>
  <si>
    <t>Watsonville</t>
  </si>
  <si>
    <t>325199 - All Other Basic Organic Chemical Manufacturing</t>
  </si>
  <si>
    <t>Air Liquide El Segundo Hydrogen Plant</t>
  </si>
  <si>
    <t>Trinity Consultants, Inc.</t>
  </si>
  <si>
    <t>325120 - Industrial Gas Manufacturing</t>
  </si>
  <si>
    <t>C,P</t>
  </si>
  <si>
    <t>Hydrogen Plant</t>
  </si>
  <si>
    <t>Air Liquide Large Industries US L.P. - Rodeo Hydrogen Plant</t>
  </si>
  <si>
    <t>Rodeo</t>
  </si>
  <si>
    <t>Air Products &amp; Chemicals, Inc., Martinez</t>
  </si>
  <si>
    <t>Ramboll Environ US Corporation</t>
  </si>
  <si>
    <t>Martinez</t>
  </si>
  <si>
    <t>Air Products Carson Hydrogen Plant</t>
  </si>
  <si>
    <t>Carson</t>
  </si>
  <si>
    <t>Air Products Manufacturing Corporation, Sacramento</t>
  </si>
  <si>
    <t>Air Products Wilmington Hydrogen Plant</t>
  </si>
  <si>
    <t>Qualified Positive</t>
  </si>
  <si>
    <t>Wilmington</t>
  </si>
  <si>
    <t>Alameda Municipal Power</t>
  </si>
  <si>
    <t>Alameda</t>
  </si>
  <si>
    <t>Algonquin Power Sanger, LLC</t>
  </si>
  <si>
    <t>SCS Engineers</t>
  </si>
  <si>
    <t>Sanger</t>
  </si>
  <si>
    <t>All American Asphalt - Corona</t>
  </si>
  <si>
    <t>324121 - Asphalt Paving Mixture and Block Manufacturing</t>
  </si>
  <si>
    <t>All American Asphalt - Irvine</t>
  </si>
  <si>
    <t>Irvine</t>
  </si>
  <si>
    <t>All American Oil &amp; Gas. Inc.</t>
  </si>
  <si>
    <t>Ashworth Leininger Group</t>
  </si>
  <si>
    <t>Allergan</t>
  </si>
  <si>
    <t>325412 - Pharmaceutical Preparation Manufacturing</t>
  </si>
  <si>
    <t>Alon Asphalt Company - Elk Grove Asphalt Terminal</t>
  </si>
  <si>
    <t>Elk Grove</t>
  </si>
  <si>
    <t>424710 - Petroleum Bulk Stations and Terminals</t>
  </si>
  <si>
    <t>Alon Bakersfield Refinery - Area 3</t>
  </si>
  <si>
    <t>324110 - Petroleum Refineries</t>
  </si>
  <si>
    <t>Refinery</t>
  </si>
  <si>
    <t>Alon Bakersfield Refinery - Areas 1&amp;2</t>
  </si>
  <si>
    <t>GHD Services, Inc.</t>
  </si>
  <si>
    <t>Alon Bakersfield Refinery - Areas 1&amp;2 - Fuel Supplier</t>
  </si>
  <si>
    <t>AltaGas Pomona Energy Inc (San Gabriel Energy Facility)</t>
  </si>
  <si>
    <t>NSF International</t>
  </si>
  <si>
    <t>Pomona</t>
  </si>
  <si>
    <t>AltaGas Ripon Energy Inc.</t>
  </si>
  <si>
    <t>Ripon</t>
  </si>
  <si>
    <t>Ameresco Chiquita Energy LLC</t>
  </si>
  <si>
    <t>Castaic</t>
  </si>
  <si>
    <t>221117 - Biomass Electric Power Generation</t>
  </si>
  <si>
    <t>Ameresco Forward LLC</t>
  </si>
  <si>
    <t>Manteca</t>
  </si>
  <si>
    <t>Ameresco Half Moon Bay</t>
  </si>
  <si>
    <t>Half Moon Bay</t>
  </si>
  <si>
    <t>Ameresco Keller Canyon</t>
  </si>
  <si>
    <t>Pittsburg</t>
  </si>
  <si>
    <t xml:space="preserve">Ameresco San Joaquin LLC </t>
  </si>
  <si>
    <t>Linden</t>
  </si>
  <si>
    <t>Ameresco Santa Cruz</t>
  </si>
  <si>
    <t>Ameresco Vasco Road</t>
  </si>
  <si>
    <t>Livermore</t>
  </si>
  <si>
    <t>American Biodiesel, Inc. dba Community Fuels</t>
  </si>
  <si>
    <t>Encinitas</t>
  </si>
  <si>
    <t>AmeriGas Propane, L.P.</t>
  </si>
  <si>
    <t>King of Prussia</t>
  </si>
  <si>
    <t>PA</t>
  </si>
  <si>
    <t>454312 - Liquefied Petroleum Gas (Bottled Gas) Dealers</t>
  </si>
  <si>
    <t>NN</t>
  </si>
  <si>
    <t>Supplier of Natural Gas, NGL, or LPG</t>
  </si>
  <si>
    <t>Amgen Inc.</t>
  </si>
  <si>
    <t>Thousand Oaks</t>
  </si>
  <si>
    <t>325414 - Biological Product (except Diagnostic) Manufacturing</t>
  </si>
  <si>
    <t>Ampersand Chowchilla Biomass, LLC, 93610</t>
  </si>
  <si>
    <t>Chowchilla</t>
  </si>
  <si>
    <t>Ampine: A Division of Timber Products</t>
  </si>
  <si>
    <t>Martell</t>
  </si>
  <si>
    <t>321219 - Reconstituted Wood Product Manufacturing</t>
  </si>
  <si>
    <t>Anheuser-Busch LLC - Fairfield (opt-in 2013)</t>
  </si>
  <si>
    <t>Fairfield</t>
  </si>
  <si>
    <t>312120 - Breweries</t>
  </si>
  <si>
    <t>Anheuser-Busch LLC - Los Angeles Brewery</t>
  </si>
  <si>
    <t>Van Nuys</t>
  </si>
  <si>
    <t>Anza Electric Cooperative</t>
  </si>
  <si>
    <t>Anza</t>
  </si>
  <si>
    <t>Apex Oil Company, Inc.</t>
  </si>
  <si>
    <t>Locus Technologies</t>
  </si>
  <si>
    <t>St. Louis</t>
  </si>
  <si>
    <t>MO</t>
  </si>
  <si>
    <t>Applied Energy LLC - NAS North Island</t>
  </si>
  <si>
    <t xml:space="preserve">San Diego </t>
  </si>
  <si>
    <t>Applied Energy LLC - NTC/MCRD</t>
  </si>
  <si>
    <t>San Diego</t>
  </si>
  <si>
    <t>Applied Energy LLC - U.S. Naval Station</t>
  </si>
  <si>
    <t>Archer Daniels Midland</t>
  </si>
  <si>
    <t>Decatur</t>
  </si>
  <si>
    <t>IL</t>
  </si>
  <si>
    <t>Arcturus Manufacturing</t>
  </si>
  <si>
    <t>Oxnard</t>
  </si>
  <si>
    <t>332111 - Iron and Steel Forging</t>
  </si>
  <si>
    <t>Ardagh Glass Inc.</t>
  </si>
  <si>
    <t>Davenport Engineering, Inc.</t>
  </si>
  <si>
    <t>Madera</t>
  </si>
  <si>
    <t>Arizona Electric Power Cooperative</t>
  </si>
  <si>
    <t>Cochise</t>
  </si>
  <si>
    <t>Arizona Public Service Company</t>
  </si>
  <si>
    <t>Lincus, Inc.</t>
  </si>
  <si>
    <t>Phoenix</t>
  </si>
  <si>
    <t>Avangrid Renewables</t>
  </si>
  <si>
    <t>Portland</t>
  </si>
  <si>
    <t>OR</t>
  </si>
  <si>
    <t>Avenal State Prison</t>
  </si>
  <si>
    <t>Avenal</t>
  </si>
  <si>
    <t>922140 - Correctional Institutions</t>
  </si>
  <si>
    <t>Avista Utilities</t>
  </si>
  <si>
    <t>Spokane</t>
  </si>
  <si>
    <t>WA</t>
  </si>
  <si>
    <t>221111 - Hydroelectric Power Generation</t>
  </si>
  <si>
    <t>Azteca Milling, L.P.</t>
  </si>
  <si>
    <t>311211 - Flour Milling</t>
  </si>
  <si>
    <t>Azusa Light and Water</t>
  </si>
  <si>
    <t>Azusa</t>
  </si>
  <si>
    <t>Badger Creek Limited</t>
  </si>
  <si>
    <t>Baker Commodities, Inc., Kerman Division</t>
  </si>
  <si>
    <t>Kerman</t>
  </si>
  <si>
    <t>311613 - Rendering and Meat Byproduct Processing</t>
  </si>
  <si>
    <t>Baker Commodities, Inc., Vernon Division</t>
  </si>
  <si>
    <t>Vernon</t>
  </si>
  <si>
    <t>Baxalta US Inc.</t>
  </si>
  <si>
    <t>Los Angeles</t>
  </si>
  <si>
    <t>Bayer Healthcare</t>
  </si>
  <si>
    <t>Berkeley</t>
  </si>
  <si>
    <t>Bear Mountain Limited</t>
  </si>
  <si>
    <t>Bear Valley Electric Service (BVES)</t>
  </si>
  <si>
    <t>Big Bear Lake</t>
  </si>
  <si>
    <t>Belridge Gas Plant - Natural Gas Supplier</t>
  </si>
  <si>
    <t>211112 - Natural Gas Liquid Extraction</t>
  </si>
  <si>
    <t>Belridge Gas Plant - NGL Supplier</t>
  </si>
  <si>
    <t>Berry Petroleum Company - San Joaquin Basin</t>
  </si>
  <si>
    <t>Maricopa</t>
  </si>
  <si>
    <t>Biggs Municipal Utilities</t>
  </si>
  <si>
    <t>Biggs</t>
  </si>
  <si>
    <t>Biola University</t>
  </si>
  <si>
    <t>La Mirada</t>
  </si>
  <si>
    <t>611310 - Colleges, Universities, and Professional Schools</t>
  </si>
  <si>
    <t>Blue Lake Power</t>
  </si>
  <si>
    <t>Cameron-Cole, LLC</t>
  </si>
  <si>
    <t>Blue Lake</t>
  </si>
  <si>
    <t>Blythe Energy</t>
  </si>
  <si>
    <t>Blythe</t>
  </si>
  <si>
    <t>BNSF Railway - Barstow</t>
  </si>
  <si>
    <t>Barstow</t>
  </si>
  <si>
    <t>482111 - Line-Haul Railroads</t>
  </si>
  <si>
    <t>BNSF Railway - Commerce</t>
  </si>
  <si>
    <t>BNSF Railway - Richmond</t>
  </si>
  <si>
    <t>Richmond</t>
  </si>
  <si>
    <t>Bonneville Power Administration - AO/CS</t>
  </si>
  <si>
    <t>Bonneville Power Administration - Marketer</t>
  </si>
  <si>
    <t>Boston Energy Trading and Marketing</t>
  </si>
  <si>
    <t>Boston</t>
  </si>
  <si>
    <t>MA</t>
  </si>
  <si>
    <t>Bottle Rock Power - Geothermal</t>
  </si>
  <si>
    <t>Cobb</t>
  </si>
  <si>
    <t>Bowerman Power LFG, LLC</t>
  </si>
  <si>
    <t>221118 - Other Electric Power Generation</t>
  </si>
  <si>
    <t>Boyett Petroleum</t>
  </si>
  <si>
    <t>Modesto</t>
  </si>
  <si>
    <t>BP Energy Company</t>
  </si>
  <si>
    <t>Houston</t>
  </si>
  <si>
    <t>TX</t>
  </si>
  <si>
    <t>BP West Coast Products LLC (BPWCP) - Terminals</t>
  </si>
  <si>
    <t>Blaine</t>
  </si>
  <si>
    <t>Braun Medical Inc</t>
  </si>
  <si>
    <t>First Environment, Inc.</t>
  </si>
  <si>
    <t>Brea Generation, LLC</t>
  </si>
  <si>
    <t>Brea</t>
  </si>
  <si>
    <t>Breitburn Operating LP - Los Angeles Basin Facility</t>
  </si>
  <si>
    <t>Rincon Consultants, Inc.</t>
  </si>
  <si>
    <t>Santa Fe Springs</t>
  </si>
  <si>
    <t>Bridge Energy, LLC</t>
  </si>
  <si>
    <t>Brookfield Energy Marketing LP</t>
  </si>
  <si>
    <t>Carbon Verification Service, LLC</t>
  </si>
  <si>
    <t>Gatineau</t>
  </si>
  <si>
    <t>QC</t>
  </si>
  <si>
    <t>J8X 2A1</t>
  </si>
  <si>
    <t>551112 - Offices of Other Holding Companies</t>
  </si>
  <si>
    <t>Buena Vista Biomass Power, LLC</t>
  </si>
  <si>
    <t>Ione</t>
  </si>
  <si>
    <t>Burbank Water and Power</t>
  </si>
  <si>
    <t>Burbank</t>
  </si>
  <si>
    <t>221121 - Electric Bulk Power Transmission and Control</t>
  </si>
  <si>
    <t>Burney Forest Products</t>
  </si>
  <si>
    <t>Burney</t>
  </si>
  <si>
    <t>BWP/MPP Electricity Generating Facilities at 164 W. Magnolia</t>
  </si>
  <si>
    <t>C,D</t>
  </si>
  <si>
    <t>CalEnergy Operating Corporation - J J Elmore - Geothermal</t>
  </si>
  <si>
    <t>Calipatria</t>
  </si>
  <si>
    <t>CalEnergy Operating Corporation - J M Leathers - Geothermal</t>
  </si>
  <si>
    <t>CalEnergy Operating Corporation - Region 1 - Geothermal</t>
  </si>
  <si>
    <t>CalEnergy Operating Corporation - Region 2 - Geothermal</t>
  </si>
  <si>
    <t>California Dairies, Inc. Artesia</t>
  </si>
  <si>
    <t xml:space="preserve">Artesia </t>
  </si>
  <si>
    <t>311514 - Dry, Condensed, and Evaporated Dairy Product Manufacturing</t>
  </si>
  <si>
    <t>California Dairies, Inc. Fresno</t>
  </si>
  <si>
    <t>Fresno</t>
  </si>
  <si>
    <t>California Dairies, Inc. Los Banos</t>
  </si>
  <si>
    <t>Los Banos</t>
  </si>
  <si>
    <t>California Dairies, Inc. Tipton</t>
  </si>
  <si>
    <t>Tipton</t>
  </si>
  <si>
    <t>California Dairies, Inc. Turlock</t>
  </si>
  <si>
    <t>Turlock</t>
  </si>
  <si>
    <t>California Dairies, Inc. Visalia</t>
  </si>
  <si>
    <t>Visalia</t>
  </si>
  <si>
    <t>California Institute of Technology (CalTech)</t>
  </si>
  <si>
    <t>Pasadena</t>
  </si>
  <si>
    <t>California Medical Facility</t>
  </si>
  <si>
    <t>Vacaville</t>
  </si>
  <si>
    <t>622210 - Psychiatric and Substance Abuse Hospitals</t>
  </si>
  <si>
    <t>California Natural Products</t>
  </si>
  <si>
    <t>Lathrop</t>
  </si>
  <si>
    <t>311511 - Fluid Milk Manufacturing</t>
  </si>
  <si>
    <t>California Paperboard Corporation (opt-in 2013)</t>
  </si>
  <si>
    <t>Santa Clara</t>
  </si>
  <si>
    <t>322130 - Paperboard Mills</t>
  </si>
  <si>
    <t>California Polytechnic State University</t>
  </si>
  <si>
    <t>San Luis Obispo</t>
  </si>
  <si>
    <t>California Power Holdings, LLC-Chowchilla Facility, 95360</t>
  </si>
  <si>
    <t>California Power Holdings, LLC-Red Bluff Facility, 96080</t>
  </si>
  <si>
    <t>Red Bluff</t>
  </si>
  <si>
    <t>California Resources Elk Hills, LLC - 35R Gas Plant</t>
  </si>
  <si>
    <t>Tupman</t>
  </si>
  <si>
    <t>California Resources Production Corporation - 760 Los Angeles Basin</t>
  </si>
  <si>
    <t>California Resources Production Corporation - Sacramento Valley Basin 730</t>
  </si>
  <si>
    <t>Rio Vista</t>
  </si>
  <si>
    <t>California Resources Production Corporation - San Joaquin Valley Basin 745</t>
  </si>
  <si>
    <t>California Resources Production Corporation - SCVGP Gas Plant</t>
  </si>
  <si>
    <t>Piru</t>
  </si>
  <si>
    <t>California Resources Production Corporation - Ventura Basin 755</t>
  </si>
  <si>
    <t>Santa Paula</t>
  </si>
  <si>
    <t>California State Prison - Corcoran</t>
  </si>
  <si>
    <t>Corcoran</t>
  </si>
  <si>
    <t>California State University, Channel Islands</t>
  </si>
  <si>
    <t>Camarillo</t>
  </si>
  <si>
    <t>California State University, Fullerton</t>
  </si>
  <si>
    <t>Fullerton</t>
  </si>
  <si>
    <t>California State University, San Diego</t>
  </si>
  <si>
    <t>California State University, San Jose</t>
  </si>
  <si>
    <t>San Jose</t>
  </si>
  <si>
    <t>California Steel Industries</t>
  </si>
  <si>
    <t>Fontana</t>
  </si>
  <si>
    <t>331221 - Rolled Steel Shape Manufacturing</t>
  </si>
  <si>
    <t>CalPeak Power - Border</t>
  </si>
  <si>
    <t>CalPeak Power - Enterprise</t>
  </si>
  <si>
    <t>Escondido</t>
  </si>
  <si>
    <t>CalPeak Power - Panoche, LLC</t>
  </si>
  <si>
    <t>Firebaugh</t>
  </si>
  <si>
    <t>CalPeak Power - Vaca Dixon, LLC</t>
  </si>
  <si>
    <t>Calpine - CCFC Sutter Energy, LLC</t>
  </si>
  <si>
    <t>Sutter</t>
  </si>
  <si>
    <t>Calpine - CPN Pipeline</t>
  </si>
  <si>
    <t>486210 - Pipeline Transportation of Natural Gas</t>
  </si>
  <si>
    <t>Calpine - Delta Energy Center, LLC</t>
  </si>
  <si>
    <t>Calpine - Geysers Power Company, LLC - Geothermal</t>
  </si>
  <si>
    <t>Middletown</t>
  </si>
  <si>
    <t>221116 - Geothermal Electric Power Generation</t>
  </si>
  <si>
    <t>Gilroy</t>
  </si>
  <si>
    <t>Calpine - Gilroy Energy Center, LLC, Feather River</t>
  </si>
  <si>
    <t>Yuba City</t>
  </si>
  <si>
    <t>Calpine - Gilroy Energy Center, LLC, Riverview Peaker</t>
  </si>
  <si>
    <t>Antioch</t>
  </si>
  <si>
    <t>Calpine - Gilroy Energy Center, LLC, Wolfskill Peaker</t>
  </si>
  <si>
    <t>King City</t>
  </si>
  <si>
    <t>Calpine - Los Esteros Critical Energy Facility, LLC</t>
  </si>
  <si>
    <t>Calpine - Los Medanos Energy Center, LLC</t>
  </si>
  <si>
    <t>Calpine - Metcalf Energy Center, LLC</t>
  </si>
  <si>
    <t>Calpine - O.L.S. Energy - Agnews Inc. 95134</t>
  </si>
  <si>
    <t>Calpine - Otay Mesa Energy Center</t>
  </si>
  <si>
    <t>Calpine - Pastoria Energy Facility L.L.C.</t>
  </si>
  <si>
    <t>Lebec</t>
  </si>
  <si>
    <t>Calpine - Russell City Energy Center</t>
  </si>
  <si>
    <t>Hayward</t>
  </si>
  <si>
    <t>Calpine - Yuba City Energy Center (Gilroy Energy Center, LLC)</t>
  </si>
  <si>
    <t>Calpine Corporation</t>
  </si>
  <si>
    <t>Calpine Energy Solutions, LLC</t>
  </si>
  <si>
    <t>454390 - Other Direct Selling Establishments</t>
  </si>
  <si>
    <t>CalPortland Company, Mojave Plant</t>
  </si>
  <si>
    <t>Mojave</t>
  </si>
  <si>
    <t>327310 - Cement Manufacturing</t>
  </si>
  <si>
    <t>C,H</t>
  </si>
  <si>
    <t>Cement Plant</t>
  </si>
  <si>
    <t>CalPortland Company, Oro Grande Plant</t>
  </si>
  <si>
    <t>Oro Grande</t>
  </si>
  <si>
    <t>Campbell Soup Supply Company, L.L.C. - Dixon</t>
  </si>
  <si>
    <t>Dixon</t>
  </si>
  <si>
    <t>311421 - Fruit and Vegetable Canning</t>
  </si>
  <si>
    <t>Campbell Soup Supply Company, L.L.C. - Stockton</t>
  </si>
  <si>
    <t>Stockton</t>
  </si>
  <si>
    <t>Canyon Power Project (CPP)</t>
  </si>
  <si>
    <t>Anaheim</t>
  </si>
  <si>
    <t>Cargill Power Markets, LLC</t>
  </si>
  <si>
    <t>Hopkins</t>
  </si>
  <si>
    <t>MN</t>
  </si>
  <si>
    <t>Cargill Salt Operations</t>
  </si>
  <si>
    <t>Newark</t>
  </si>
  <si>
    <t>Carlton Forge Works</t>
  </si>
  <si>
    <t>Paramount</t>
  </si>
  <si>
    <t>332112 - Nonferrous Forging</t>
  </si>
  <si>
    <t>Carson Cogeneration Co</t>
  </si>
  <si>
    <t>Cedars-Sinai Medical Center</t>
  </si>
  <si>
    <t>622110 - General Medical and Surgical Hospitals</t>
  </si>
  <si>
    <t>Cemex Construction Materials Pacific LLC - Victorville Plant</t>
  </si>
  <si>
    <t>Apple Valley</t>
  </si>
  <si>
    <t>Central Contra Costa Sanitary District</t>
  </si>
  <si>
    <t>221320 - Sewage Treatment Facilities</t>
  </si>
  <si>
    <t>CertainTeed Corporation</t>
  </si>
  <si>
    <t>327993 - Mineral Wool Manufacturing</t>
  </si>
  <si>
    <t>Chalk Cliff Limited</t>
  </si>
  <si>
    <t>Chapel Street Environmental II</t>
  </si>
  <si>
    <t>Ruby Canyon</t>
  </si>
  <si>
    <t>Tempe</t>
  </si>
  <si>
    <t>Chemtrade West US, LLC</t>
  </si>
  <si>
    <t>325180 - Other Basic Inorganic Chemical Manufacturing</t>
  </si>
  <si>
    <t>Chevron 17Z Gas Plant</t>
  </si>
  <si>
    <t>San Ramon</t>
  </si>
  <si>
    <t>Chevron AAPG 740 Coastal Basin</t>
  </si>
  <si>
    <t>Chevron AAPG 745 San Joaquin Basin</t>
  </si>
  <si>
    <t>Chevron Products Company - El Segundo Refinery, 90245</t>
  </si>
  <si>
    <t>C,P,PP,Y</t>
  </si>
  <si>
    <t>Refinery and Hydrogen Plant / CO2 Supplier</t>
  </si>
  <si>
    <t>Chevron Products Company - Headquarters Fuel Supplier</t>
  </si>
  <si>
    <t>Chevron Products Company - Richmond Refinery, 94802</t>
  </si>
  <si>
    <t>Chevron SJVBU Natural Gas Sales</t>
  </si>
  <si>
    <t>Children's Hospital Los Angeles</t>
  </si>
  <si>
    <t>Chula Vista Energy Center</t>
  </si>
  <si>
    <t xml:space="preserve">Chula Vista </t>
  </si>
  <si>
    <t>Citigroup Energy Inc.</t>
  </si>
  <si>
    <t>523130 - Commodity Contracts Dealing</t>
  </si>
  <si>
    <t>City of Anaheim, Combustion Turbine Generator</t>
  </si>
  <si>
    <t>City of Anaheim, Public Utilities Department, Anaheim City Hall West</t>
  </si>
  <si>
    <t>City of Banning Electric Department</t>
  </si>
  <si>
    <t>Banning</t>
  </si>
  <si>
    <t>City of Cerritos</t>
  </si>
  <si>
    <t>Cerritos</t>
  </si>
  <si>
    <t>City of Colton - EPE</t>
  </si>
  <si>
    <t>Colton</t>
  </si>
  <si>
    <t>City of Colton - Generation</t>
  </si>
  <si>
    <t>City of Corona Dept. of Water &amp; Power - EPE</t>
  </si>
  <si>
    <t>City of Hope National Medical Center</t>
  </si>
  <si>
    <t>Duarte</t>
  </si>
  <si>
    <t>City of Industry</t>
  </si>
  <si>
    <t>City of Lancaster</t>
  </si>
  <si>
    <t>Lancaster</t>
  </si>
  <si>
    <t>City of Lompoc</t>
  </si>
  <si>
    <t>Lompoc</t>
  </si>
  <si>
    <t>City of Needles</t>
  </si>
  <si>
    <t>Needles</t>
  </si>
  <si>
    <t>City of Palo Alto - Electric Power Entity</t>
  </si>
  <si>
    <t>Palo Alto</t>
  </si>
  <si>
    <t>City of Palo Alto - Gas Utility</t>
  </si>
  <si>
    <t>221210 - Natural Gas Distribution</t>
  </si>
  <si>
    <t>City of Palo Alto Water Quality Control Treatment Plant</t>
  </si>
  <si>
    <t>City of Riverside Public Utilities</t>
  </si>
  <si>
    <t>Riverside</t>
  </si>
  <si>
    <t>City of San Diego, Public Utilities Dept, North City Water Reclamation Plant</t>
  </si>
  <si>
    <t>City of San Diego, Public Utilities Dept, Point Loma Treatment Plant</t>
  </si>
  <si>
    <t>City of San Diego, Public Utilities Dept, Pump Station 2</t>
  </si>
  <si>
    <t>City of Shasta Lake - Electric</t>
  </si>
  <si>
    <t>Shasta Lake</t>
  </si>
  <si>
    <t>921120 - Legislative Bodies</t>
  </si>
  <si>
    <t>City of Susanville Gas Utility</t>
  </si>
  <si>
    <t>Susanville</t>
  </si>
  <si>
    <t>City of Ukiah, Electric Utilities Division</t>
  </si>
  <si>
    <t>Ukiah</t>
  </si>
  <si>
    <t>City of Vernon, Gas Municipal Utility Department</t>
  </si>
  <si>
    <t>WZI Inc.</t>
  </si>
  <si>
    <t>City of Vernon, Vernon Gas &amp; Electric</t>
  </si>
  <si>
    <t>921190 - Other General Government Support</t>
  </si>
  <si>
    <t>Civic Center Cogen, LA County</t>
  </si>
  <si>
    <t>221330 - Steam and Air-Conditioning Supply</t>
  </si>
  <si>
    <t>Clean Energy</t>
  </si>
  <si>
    <t>Newport Beach</t>
  </si>
  <si>
    <t>CleanPowerSF</t>
  </si>
  <si>
    <t>San Francisco</t>
  </si>
  <si>
    <t>Clougherty Packing, LLC</t>
  </si>
  <si>
    <t>CMO Inc</t>
  </si>
  <si>
    <t xml:space="preserve">McKittrick </t>
  </si>
  <si>
    <t>Coalinga Cogeneration Facility</t>
  </si>
  <si>
    <t>Coalinga</t>
  </si>
  <si>
    <t>Collins Pine Co.</t>
  </si>
  <si>
    <t>Chester</t>
  </si>
  <si>
    <t>321113 - Sawmills</t>
  </si>
  <si>
    <t>Comision Federal de Electricidad (CFE)</t>
  </si>
  <si>
    <t>Mexicali</t>
  </si>
  <si>
    <t>BC</t>
  </si>
  <si>
    <t>Commercial Energy of California</t>
  </si>
  <si>
    <t>ConAgra - Oakdale</t>
  </si>
  <si>
    <t>Oakdale</t>
  </si>
  <si>
    <t>ConAgra Foods - Helm Facility</t>
  </si>
  <si>
    <t>Helm</t>
  </si>
  <si>
    <t>Constellation NewEnergy, Inc.</t>
  </si>
  <si>
    <t>Baltimore</t>
  </si>
  <si>
    <t>MD</t>
  </si>
  <si>
    <t>Corona Energy Partners, Ltd.</t>
  </si>
  <si>
    <t>Coso Energy Developers (BLM E&amp;W) - Geothermal</t>
  </si>
  <si>
    <t>Little Lake</t>
  </si>
  <si>
    <t>Coso Finance Partners (Navy I) - Geothermal</t>
  </si>
  <si>
    <t>Coso Power Developers (Navy II) - Geothermal</t>
  </si>
  <si>
    <t>Covanta - Delano, Inc.</t>
  </si>
  <si>
    <t>McFarland</t>
  </si>
  <si>
    <t>Covanta - Mendota</t>
  </si>
  <si>
    <t>Mendota</t>
  </si>
  <si>
    <t>Covanta - Stanislaus, Inc</t>
  </si>
  <si>
    <t>Crow's Landing</t>
  </si>
  <si>
    <t>562213 - Solid Waste Combustors and Incinerators</t>
  </si>
  <si>
    <t>CP Kelco San Diego</t>
  </si>
  <si>
    <t>311999 - All Other Miscellaneous Food Manufacturing</t>
  </si>
  <si>
    <t>Crestwood West Coast, LLC</t>
  </si>
  <si>
    <t>Crimson Resource Management Corp</t>
  </si>
  <si>
    <t>Criterion Catalyst and Technologies, L. P.</t>
  </si>
  <si>
    <t>325188 - All Other Basic Inorganic Chemical Manufacturing</t>
  </si>
  <si>
    <t>Crockett Cogeneration Project, LP</t>
  </si>
  <si>
    <t>Crockett</t>
  </si>
  <si>
    <t>Custom Alloy Light Metals, Inc.</t>
  </si>
  <si>
    <t>Industry</t>
  </si>
  <si>
    <t>331314 - Secondary Smelting and Alloying of Aluminum</t>
  </si>
  <si>
    <t>CWP Energy</t>
  </si>
  <si>
    <t>Montreal</t>
  </si>
  <si>
    <t>H2Y2G3</t>
  </si>
  <si>
    <t>Darling Ingredients Inc - Fresno</t>
  </si>
  <si>
    <t>Darling Ingredients Inc - Los Angeles</t>
  </si>
  <si>
    <t>Darling Ingredients Inc - Turlock</t>
  </si>
  <si>
    <t>Dart Container Corporation of California</t>
  </si>
  <si>
    <t>326140 - Polystyrene Foam Product Manufacturing</t>
  </si>
  <si>
    <t>Del Monte - Hanford</t>
  </si>
  <si>
    <t>Hanford</t>
  </si>
  <si>
    <t>Del Monte - Modesto</t>
  </si>
  <si>
    <t>Delano Energy Center, LLC</t>
  </si>
  <si>
    <t>Delano</t>
  </si>
  <si>
    <t>Delano Growers Grape Products</t>
  </si>
  <si>
    <t>311411 - Frozen Fruit, Juice, and Vegetable Manufacturing</t>
  </si>
  <si>
    <t>DeMenno/Kerdoon</t>
  </si>
  <si>
    <t>Compton</t>
  </si>
  <si>
    <t>324199 - All Other Petroleum and Coal Products Manufacturing</t>
  </si>
  <si>
    <t>DG Fairhaven Power LLC</t>
  </si>
  <si>
    <t>NCUAQMD</t>
  </si>
  <si>
    <t>Samoa</t>
  </si>
  <si>
    <t>Diamond Pet Food Processors of California, LLC - Lathrop</t>
  </si>
  <si>
    <t>311111 - Dog and Cat Food Manufacturing</t>
  </si>
  <si>
    <t>Diamond Pet Food Processors of California, LLC - Ripon</t>
  </si>
  <si>
    <t>Dicalite Minerals Corp.</t>
  </si>
  <si>
    <t>212399 - All Other Nonmetallic Mineral Mining</t>
  </si>
  <si>
    <t>Dinuba Energy</t>
  </si>
  <si>
    <t>Reedley</t>
  </si>
  <si>
    <t>Direct Energy Business, LLC (fka Strategic Energy)</t>
  </si>
  <si>
    <t>Lloyd's Register Quality Assurance, Inc/LRQA</t>
  </si>
  <si>
    <t>Disneyland Resort</t>
  </si>
  <si>
    <t>713110 - Amusement and Theme Parks</t>
  </si>
  <si>
    <t>Double C Limited</t>
  </si>
  <si>
    <t>Dow Chemical Company - Pittsburg</t>
  </si>
  <si>
    <t>DSH-Napa State Hospital</t>
  </si>
  <si>
    <t>Napa</t>
  </si>
  <si>
    <t>DTE Stockton, LLC</t>
  </si>
  <si>
    <t>Dynegy Moss Landing, LLC</t>
  </si>
  <si>
    <t>Moss Landing</t>
  </si>
  <si>
    <t>Dynegy Oakland, LLC.</t>
  </si>
  <si>
    <t>E &amp; J Gallo Winery - Fresno</t>
  </si>
  <si>
    <t>312130 - Wineries</t>
  </si>
  <si>
    <t>E &amp; J Gallo Winery - Livingston</t>
  </si>
  <si>
    <t>Livingston</t>
  </si>
  <si>
    <t>E&amp;B Natural Resources - San Joaquin Valley</t>
  </si>
  <si>
    <t>E.F. Oxnard LLC</t>
  </si>
  <si>
    <t>Eagle Petroleum - Lynch Canyon Field</t>
  </si>
  <si>
    <t>East Bay Municipal Utility District</t>
  </si>
  <si>
    <t>Eastside Power Authority</t>
  </si>
  <si>
    <t>221310 - Water Supply and Irrigation Systems</t>
  </si>
  <si>
    <t>Eco Services - Dominguez</t>
  </si>
  <si>
    <t>Eco Services - Martinez</t>
  </si>
  <si>
    <t>Ed Staub &amp; Sons Petroleum, Inc.</t>
  </si>
  <si>
    <t>Klamath Falls</t>
  </si>
  <si>
    <t>EDF Industrial Power Services (CA), LLC</t>
  </si>
  <si>
    <t>EDF Trading North America, LLC</t>
  </si>
  <si>
    <t>Edgington Oil Company</t>
  </si>
  <si>
    <t>Edwards Air Force Base</t>
  </si>
  <si>
    <t>Edwards</t>
  </si>
  <si>
    <t>928110 - National Security</t>
  </si>
  <si>
    <t>Eisenhower Medical Center</t>
  </si>
  <si>
    <t>Rancho Mirage</t>
  </si>
  <si>
    <t>El Cajon Energy, LLC</t>
  </si>
  <si>
    <t>El Cajon</t>
  </si>
  <si>
    <t>Emidio Pump Station - Shell Pipeline Company</t>
  </si>
  <si>
    <t>Mettler</t>
  </si>
  <si>
    <t>486110 - Pipeline Transportation of Crude Oil</t>
  </si>
  <si>
    <t>Encina Water Pollution Control Facility</t>
  </si>
  <si>
    <t>Carlsbad</t>
  </si>
  <si>
    <t>Energy 2001, Placer WRSL</t>
  </si>
  <si>
    <t>Lincoln</t>
  </si>
  <si>
    <t>ERG Operating Company, LLC. 750 Santa Maria Basin</t>
  </si>
  <si>
    <t>Santa Maria</t>
  </si>
  <si>
    <t>Escalon Premier Brands, a Division of Kraft Heinz Company</t>
  </si>
  <si>
    <t>Escalon</t>
  </si>
  <si>
    <t>Escondido Energy Center, LLC</t>
  </si>
  <si>
    <t>Etiwanda Generating Station</t>
  </si>
  <si>
    <t>Rancho Cucamonga</t>
  </si>
  <si>
    <t>Exelon Generation Company, LLC</t>
  </si>
  <si>
    <t>Exide Technologies</t>
  </si>
  <si>
    <t>331492 - Secondary Smelting, Refining, and Alloying of Nonferrous Metal (except Copper and Aluminum)</t>
  </si>
  <si>
    <t>ExxonMobil LFC Facility</t>
  </si>
  <si>
    <t>Goleta</t>
  </si>
  <si>
    <t>ExxonMobil POPCO Facility</t>
  </si>
  <si>
    <t>Ferrellgas, LP</t>
  </si>
  <si>
    <t>Liberty</t>
  </si>
  <si>
    <t>Flint Hills Resources LP</t>
  </si>
  <si>
    <t>Wichita</t>
  </si>
  <si>
    <t>KS</t>
  </si>
  <si>
    <t>Flyers Energy</t>
  </si>
  <si>
    <t>AUBURN</t>
  </si>
  <si>
    <t>Foster Dairy Farms - Modesto Creamery</t>
  </si>
  <si>
    <t xml:space="preserve">Foster Farms Porterville Plant </t>
  </si>
  <si>
    <t>Porterville</t>
  </si>
  <si>
    <t>311615 - Poultry Processing</t>
  </si>
  <si>
    <t xml:space="preserve">Foster Farms Traver Complex </t>
  </si>
  <si>
    <t>Traver</t>
  </si>
  <si>
    <t>Foster Poultry Farms - Livingston Complex, 95334</t>
  </si>
  <si>
    <t>Freeport-McMoRan Oil &amp; Gas LLC - Gaviota Oil Heating Facility</t>
  </si>
  <si>
    <t>Fresno Cogeneration Partners, LP</t>
  </si>
  <si>
    <t>San Joaquin</t>
  </si>
  <si>
    <t>Fresno-Clovis Regional Wastewater Reclamation Facility</t>
  </si>
  <si>
    <t>Frito Lay - Kern Plant</t>
  </si>
  <si>
    <t>311919 - Other Snack Food Manufacturing</t>
  </si>
  <si>
    <t>Frito Lay - Modesto</t>
  </si>
  <si>
    <t>G2 Energy Ostrom Road, LLC</t>
  </si>
  <si>
    <t>Wheatland</t>
  </si>
  <si>
    <t>562212 - Solid Waste Landfill</t>
  </si>
  <si>
    <t>Gallo Glass Company</t>
  </si>
  <si>
    <t>Genentech - Vacaville</t>
  </si>
  <si>
    <t>Genentech Inc South San Francisco</t>
  </si>
  <si>
    <t>GenOn Delta, Pittsburg Generating Station 94565</t>
  </si>
  <si>
    <t>GenPower Lincon Landfill Power Plant</t>
  </si>
  <si>
    <t xml:space="preserve">Lincoln </t>
  </si>
  <si>
    <t>Georgia-Pacific Gypsum LLC - Antioch</t>
  </si>
  <si>
    <t>327420 - Gypsum Product Manufacturing</t>
  </si>
  <si>
    <t>Georgia-Pacific Gypsum LLC - San Leandro</t>
  </si>
  <si>
    <t>san leandro</t>
  </si>
  <si>
    <t>Gexa Energy California, LLC</t>
  </si>
  <si>
    <t>Glencore Ltd.</t>
  </si>
  <si>
    <t>Glendale Water &amp; Power</t>
  </si>
  <si>
    <t>Glendale</t>
  </si>
  <si>
    <t>Goal Line LP, 92025</t>
  </si>
  <si>
    <t>Graphic Packaging International, Inc</t>
  </si>
  <si>
    <t>Grayson Power Plant</t>
  </si>
  <si>
    <t xml:space="preserve">Greka Santa Maria Refinery </t>
  </si>
  <si>
    <t>C,Y</t>
  </si>
  <si>
    <t>Gridley Electric Utility</t>
  </si>
  <si>
    <t>Gridley</t>
  </si>
  <si>
    <t>Guardian Industries Corp.</t>
  </si>
  <si>
    <t>Kingsburg</t>
  </si>
  <si>
    <t>327211 - Flat Glass Manufacturing</t>
  </si>
  <si>
    <t>Guzman Energy</t>
  </si>
  <si>
    <t>Coral Gables</t>
  </si>
  <si>
    <t>FL</t>
  </si>
  <si>
    <t>Hanford Energy Park Peaker</t>
  </si>
  <si>
    <t>Harbor Cogeneration Company, LLC</t>
  </si>
  <si>
    <t>Harris Ranch Beef Company</t>
  </si>
  <si>
    <t>Selma</t>
  </si>
  <si>
    <t>311611 - Animal (except Poultry) Slaughtering</t>
  </si>
  <si>
    <t>Healdsburg Electric Dept.</t>
  </si>
  <si>
    <t>Healdsburg</t>
  </si>
  <si>
    <t>Henrietta Peaker Plant</t>
  </si>
  <si>
    <t>Lemoore</t>
  </si>
  <si>
    <t>HGST, Inc</t>
  </si>
  <si>
    <t>334112 - Computer Storage Device Manufacturing</t>
  </si>
  <si>
    <t>High Desert Power Project, LLC</t>
  </si>
  <si>
    <t>Victorville</t>
  </si>
  <si>
    <t>High Sierra Cogeneration</t>
  </si>
  <si>
    <t>High Sierra Limited</t>
  </si>
  <si>
    <t>Hilmar Cheese Company</t>
  </si>
  <si>
    <t>Hilmar</t>
  </si>
  <si>
    <t>311513 - Cheese Manufacturing</t>
  </si>
  <si>
    <t>HL Power Company</t>
  </si>
  <si>
    <t>ATC Group Services</t>
  </si>
  <si>
    <t>Wendel</t>
  </si>
  <si>
    <t>Hoag Memorial Hospital Presbyterian</t>
  </si>
  <si>
    <t xml:space="preserve">NEWPORT BEACH </t>
  </si>
  <si>
    <t>Holmes Western Oil Corporation</t>
  </si>
  <si>
    <t>Taft</t>
  </si>
  <si>
    <t>Hood Dairy</t>
  </si>
  <si>
    <t>Houweling Nurseries Oxnard, Inc</t>
  </si>
  <si>
    <t>111419 - Other Food Crops Grown Under Cover</t>
  </si>
  <si>
    <t>Hudson Ranch Power I - Geothermal</t>
  </si>
  <si>
    <t>Huntington Memorial Hospital</t>
  </si>
  <si>
    <t>Idemitsu Apollo Corporation</t>
  </si>
  <si>
    <t>Imerys Minerals California, Inc.</t>
  </si>
  <si>
    <t>Imperial Irrigation District (IID)</t>
  </si>
  <si>
    <t>Imperial</t>
  </si>
  <si>
    <t>Imperial Irrigation District (IID), El Centro Generating Station</t>
  </si>
  <si>
    <t>El Centro</t>
  </si>
  <si>
    <t>Imperial Irrigation District (IID), Niland Gas Turbine Plant</t>
  </si>
  <si>
    <t>Niland</t>
  </si>
  <si>
    <t>Ingomar Packing Company</t>
  </si>
  <si>
    <t>Ingredion Incorporated Stockton Plant</t>
  </si>
  <si>
    <t>311221 - Wet Corn Milling</t>
  </si>
  <si>
    <t>Inland Empire Energy Center, LLC.</t>
  </si>
  <si>
    <t>Menifee</t>
  </si>
  <si>
    <t>IPC (USA), Inc.</t>
  </si>
  <si>
    <t>Santa Ana</t>
  </si>
  <si>
    <t>Ivanpah Solar Electric Generating System</t>
  </si>
  <si>
    <t>Nipton</t>
  </si>
  <si>
    <t>221114 - Solar Electric Power Generation</t>
  </si>
  <si>
    <t>J. Aron &amp; Company LLC</t>
  </si>
  <si>
    <t>New York</t>
  </si>
  <si>
    <t>J. G. Boswell Tomato Company Kern</t>
  </si>
  <si>
    <t>Buttonwillow</t>
  </si>
  <si>
    <t>J.G. Boswell Company West Processing Townsite</t>
  </si>
  <si>
    <t>311223 - Other Oilseed Processing</t>
  </si>
  <si>
    <t>J.G.Boswell Tomato Company Kings</t>
  </si>
  <si>
    <t>Jaco Oil Company</t>
  </si>
  <si>
    <t>BAKERSFIELD</t>
  </si>
  <si>
    <t>447190 - Other Gasoline Stations</t>
  </si>
  <si>
    <t>John Wayne Airport Orange County</t>
  </si>
  <si>
    <t>488119 - Other Airport Operations</t>
  </si>
  <si>
    <t>Johns Manville (opt-in 2013)</t>
  </si>
  <si>
    <t>Willows</t>
  </si>
  <si>
    <t>JP Oil</t>
  </si>
  <si>
    <t>Shafter</t>
  </si>
  <si>
    <t>JR Simplot Company</t>
  </si>
  <si>
    <t>325311 - Nitrogenous Fertilizer Manufacturing</t>
  </si>
  <si>
    <t>C,V</t>
  </si>
  <si>
    <t>JS West and Companies</t>
  </si>
  <si>
    <t>Just Energy Solutions Inc.</t>
  </si>
  <si>
    <t>K2 Pure Solutions, Inc</t>
  </si>
  <si>
    <t>Kaiser Aluminum Fabricated Products, LLC</t>
  </si>
  <si>
    <t>Kaweah Delta Medical Center</t>
  </si>
  <si>
    <t>Kern Front Limited</t>
  </si>
  <si>
    <t>Kern Front Natural Gas Pipeline (WCAC)</t>
  </si>
  <si>
    <t>Kern Oil - Fuel Supplier</t>
  </si>
  <si>
    <t>Kern Oil Refinery</t>
  </si>
  <si>
    <t>Kern River Cogeneration Facility</t>
  </si>
  <si>
    <t>Kern River Gas Transmission Company</t>
  </si>
  <si>
    <t>Salt Lake City</t>
  </si>
  <si>
    <t>UT</t>
  </si>
  <si>
    <t>KES Kingsburg L.P.--Kingsburg Cogeneration Facility</t>
  </si>
  <si>
    <t>Kiefer Landfill, Department of Waste Management and Recycling</t>
  </si>
  <si>
    <t>Sloughhouse</t>
  </si>
  <si>
    <t>Kimberly Clark Worldwide Inc.</t>
  </si>
  <si>
    <t>322121 - Paper (except Newsprint) Mills</t>
  </si>
  <si>
    <t>Kinergy Marketing, LLC</t>
  </si>
  <si>
    <t>Kirby Hills Compressor Station</t>
  </si>
  <si>
    <t>Suisun City</t>
  </si>
  <si>
    <t>Kirkwood Meadows PUD Powerhouse</t>
  </si>
  <si>
    <t>Kirkwood</t>
  </si>
  <si>
    <t>Knauf Insulation</t>
  </si>
  <si>
    <t>Kraft Heinz Foods Company - Tulare</t>
  </si>
  <si>
    <t>Tulare</t>
  </si>
  <si>
    <t>Kyocera International Inc.</t>
  </si>
  <si>
    <t>334413 - Semiconductor and Related Device Manufacturing</t>
  </si>
  <si>
    <t>La Paloma Generating Company, LLC</t>
  </si>
  <si>
    <t>La Rosita Power - Marketing</t>
  </si>
  <si>
    <t>Mexicali Baja California</t>
  </si>
  <si>
    <t>LAC+USC Medical Center</t>
  </si>
  <si>
    <t>LACSD - Calabasas LF</t>
  </si>
  <si>
    <t>Agoura</t>
  </si>
  <si>
    <t>LACSD - Commerce Refuse To Energy</t>
  </si>
  <si>
    <t>Commerce</t>
  </si>
  <si>
    <t>LACSD - Joint Water Pollution Control Plant</t>
  </si>
  <si>
    <t>LACSD - Puente Hills Landfill</t>
  </si>
  <si>
    <t>LACSD - Spadra Landfill</t>
  </si>
  <si>
    <t>Walnut</t>
  </si>
  <si>
    <t>Land O' Lakes, Inc.</t>
  </si>
  <si>
    <t>Lassen Municipal Utility District</t>
  </si>
  <si>
    <t>Lathrop Irrigation District</t>
  </si>
  <si>
    <t>Lawrence Livermore National Laboratory (LLNL)</t>
  </si>
  <si>
    <t>541712 - Reseach and Development in the Physical, Engineering, and Life Sciences (except Biotechnology)</t>
  </si>
  <si>
    <t>Lehigh Southwest Cement Co - Cupertino</t>
  </si>
  <si>
    <t>Cupertino</t>
  </si>
  <si>
    <t>Lehigh Southwest Cement Co - Redding</t>
  </si>
  <si>
    <t>Redding</t>
  </si>
  <si>
    <t>Lehigh Southwest Cement Co - Tehachapi</t>
  </si>
  <si>
    <t>Tehachapi</t>
  </si>
  <si>
    <t>Leprino Foods - Lemoore East</t>
  </si>
  <si>
    <t xml:space="preserve">Lemoore </t>
  </si>
  <si>
    <t>Leprino Foods - Lemoore West</t>
  </si>
  <si>
    <t>Leprino Foods - Tracy</t>
  </si>
  <si>
    <t xml:space="preserve">Tracy </t>
  </si>
  <si>
    <t>Lhoist North America - Natividad Plant</t>
  </si>
  <si>
    <t>Salinas</t>
  </si>
  <si>
    <t>327410 - Lime Manufacturing</t>
  </si>
  <si>
    <t>C,S</t>
  </si>
  <si>
    <t>Liberty Packing - Los Banos (Morning Star)</t>
  </si>
  <si>
    <t>Liberty Power Holdings, LLC</t>
  </si>
  <si>
    <t>Fort Lauderdale</t>
  </si>
  <si>
    <t>Liberty Utilities (CalPeco Electric) LLC</t>
  </si>
  <si>
    <t>South Lake Tahoe</t>
  </si>
  <si>
    <t>Live Oak Limited</t>
  </si>
  <si>
    <t>Lockheed Martin Aeronautics Company - Palmdale</t>
  </si>
  <si>
    <t>Palmdale</t>
  </si>
  <si>
    <t>336411 - Aircraft Manufacturing</t>
  </si>
  <si>
    <t>Lockheed Martin Corporation - Sunnyvale</t>
  </si>
  <si>
    <t>Sunnyvale</t>
  </si>
  <si>
    <t>336414 - Guided Missile and Space Vehicle Manufacturing</t>
  </si>
  <si>
    <t>Lodi Compressor Station</t>
  </si>
  <si>
    <t>Acampo</t>
  </si>
  <si>
    <t>Lodi Electric Utility</t>
  </si>
  <si>
    <t>Lodi Energy Center</t>
  </si>
  <si>
    <t>LODI</t>
  </si>
  <si>
    <t>Loma Linda University</t>
  </si>
  <si>
    <t>Loma Linda</t>
  </si>
  <si>
    <t>Lompoc Oil and Gas Plant</t>
  </si>
  <si>
    <t>Long Beach Gas &amp; Oil Dept (LBGO)</t>
  </si>
  <si>
    <t>Los Angeles Department of Water &amp; Power (LADWP)</t>
  </si>
  <si>
    <t>SC&amp;A, Inc.</t>
  </si>
  <si>
    <t>Los Angeles Department of Water &amp; Power-Harbor Generating Station (LADWP)</t>
  </si>
  <si>
    <t>Los Angeles Department of Water &amp; Power-Haynes Generating Station (LADWP)</t>
  </si>
  <si>
    <t>Los Angeles Department of Water &amp; Power-Scattergood Generating Station (LADWP)</t>
  </si>
  <si>
    <t>Playa del Rey</t>
  </si>
  <si>
    <t>Los Angeles Department of Water &amp; Power-Valley Generating Station (LADWP)</t>
  </si>
  <si>
    <t>Sun Valley</t>
  </si>
  <si>
    <t>Los Angeles International Airport (LAX)</t>
  </si>
  <si>
    <t>South Coast Air Quality Management District</t>
  </si>
  <si>
    <t>Los Gatos Tomato Products</t>
  </si>
  <si>
    <t>Huron</t>
  </si>
  <si>
    <t>Lunday-Thagard Company, DBA World Oil Refining</t>
  </si>
  <si>
    <t>South Gate</t>
  </si>
  <si>
    <t>Luz Solar Partners LTD</t>
  </si>
  <si>
    <t>Boron</t>
  </si>
  <si>
    <t>Luz Solar Partners LTD VIII &amp; IX</t>
  </si>
  <si>
    <t>Hinkley</t>
  </si>
  <si>
    <t>LWFP LLC</t>
  </si>
  <si>
    <t>Fraizer Park</t>
  </si>
  <si>
    <t>327123 - Other Structural Clay Product Manufacturing</t>
  </si>
  <si>
    <t>Macpherson Oil Company</t>
  </si>
  <si>
    <t>Macquarie Energy LLC</t>
  </si>
  <si>
    <t>MAG Energy Solutions, Inc. - EPE</t>
  </si>
  <si>
    <t>H3A 3L4</t>
  </si>
  <si>
    <t>MAGTFTC MCAGCC Twentynine Palms</t>
  </si>
  <si>
    <t>Twentynine Palms</t>
  </si>
  <si>
    <t>Malaga Power, LLC</t>
  </si>
  <si>
    <t>Malburg Generating Station</t>
  </si>
  <si>
    <t>Mandalay Generating Station</t>
  </si>
  <si>
    <t>Mansfield Oil Company of Gainesville, Inc</t>
  </si>
  <si>
    <t>Gainesville</t>
  </si>
  <si>
    <t>GA</t>
  </si>
  <si>
    <t>Marin Clean Energy</t>
  </si>
  <si>
    <t xml:space="preserve">San Rafael </t>
  </si>
  <si>
    <t>Mariposa Energy LLC</t>
  </si>
  <si>
    <t>Byron</t>
  </si>
  <si>
    <t>Martinez Cogen Limited Partnership</t>
  </si>
  <si>
    <t>Maruchan, Inc. - Laguna Canyon</t>
  </si>
  <si>
    <t>311824 - Dry Pasta, Dough, and Flour Mixes Manufacturing from Purchased Flour</t>
  </si>
  <si>
    <t>Matchmaster Dyeing &amp; Finishing</t>
  </si>
  <si>
    <t>313310 - Textile and Fabric Finishing Mills</t>
  </si>
  <si>
    <t>Matsui Nursery, Inc.</t>
  </si>
  <si>
    <t>111422 - Floriculture Production</t>
  </si>
  <si>
    <t>McKittrick Limited</t>
  </si>
  <si>
    <t>Merced Irrigation District (MeID)</t>
  </si>
  <si>
    <t>Merced</t>
  </si>
  <si>
    <t>Merced Power, LLC, 95340</t>
  </si>
  <si>
    <t>Metropolitan Water District of Southern California (MWD)</t>
  </si>
  <si>
    <t>Mid-Set Cogeneration Facility</t>
  </si>
  <si>
    <t>Fellows</t>
  </si>
  <si>
    <t>Midway Peaking, LLC</t>
  </si>
  <si>
    <t>Midway-Sunset Cogeneration</t>
  </si>
  <si>
    <t>MillerCoors</t>
  </si>
  <si>
    <t>Irwindale</t>
  </si>
  <si>
    <t>Mira Loma Metal Container Corp</t>
  </si>
  <si>
    <t>Mira Loma</t>
  </si>
  <si>
    <t>332431 - Metal Can Manufacturing</t>
  </si>
  <si>
    <t>Miramar - MM and Miramar Energy</t>
  </si>
  <si>
    <t xml:space="preserve">Mission Bell Winery </t>
  </si>
  <si>
    <t>Mission Foods Corporation</t>
  </si>
  <si>
    <t>311830 - Tortilla Manufacturing</t>
  </si>
  <si>
    <t>Mitsubishi Cement 2000</t>
  </si>
  <si>
    <t>Lucerne Valley</t>
  </si>
  <si>
    <t>Mizkan America, Inc.</t>
  </si>
  <si>
    <t>MM Lopez Energy LLC</t>
  </si>
  <si>
    <t>Lake View Terrace</t>
  </si>
  <si>
    <t>MM Prima Deshecha Energy LLC</t>
  </si>
  <si>
    <t>San Juan Capistrano</t>
  </si>
  <si>
    <t>MM San Diego LLC - North City</t>
  </si>
  <si>
    <t>MM Tajiguas Energy LLC</t>
  </si>
  <si>
    <t>MM West Covina LLC</t>
  </si>
  <si>
    <t>West Covina</t>
  </si>
  <si>
    <t>MM Yolo Power LLC</t>
  </si>
  <si>
    <t>Davis</t>
  </si>
  <si>
    <t>Modesto Irrigation District - Ripon Generation Station, 95366</t>
  </si>
  <si>
    <t>Modesto Irrigation District (MID)</t>
  </si>
  <si>
    <t>Modesto Irrigation District (MID) - Woodland Generation Station, 95351</t>
  </si>
  <si>
    <t>Mojave Pipeline Operating Company (MPOC)</t>
  </si>
  <si>
    <t>Molycorp Minerals, LLC</t>
  </si>
  <si>
    <t xml:space="preserve">Mountain Pass </t>
  </si>
  <si>
    <t>212299 - All Other Metal Ore Mining</t>
  </si>
  <si>
    <t>Monterey Regional Waste Management District</t>
  </si>
  <si>
    <t>Monterey County</t>
  </si>
  <si>
    <t>Moreno Valley Utility (MVU)</t>
  </si>
  <si>
    <t>Moreno Valley</t>
  </si>
  <si>
    <t>Morgan Stanley Capital Group Inc. - EPE</t>
  </si>
  <si>
    <t>523110 - Investment Banking and Securities Dealing</t>
  </si>
  <si>
    <t>Morning Star Packing Company - Los Banos</t>
  </si>
  <si>
    <t>Morning Star Packing Company - Williams</t>
  </si>
  <si>
    <t>Williams</t>
  </si>
  <si>
    <t>Morton Salt, Inc.</t>
  </si>
  <si>
    <t>311942 - Spice and Extract Manufacturing</t>
  </si>
  <si>
    <t>Mt. Poso Cogeneration Company</t>
  </si>
  <si>
    <t>Musket Corporation</t>
  </si>
  <si>
    <t>Naftex Operating Company</t>
  </si>
  <si>
    <t>NASA Ames Research Center</t>
  </si>
  <si>
    <t>Moffett Field</t>
  </si>
  <si>
    <t>927110 - Space Research and Technology</t>
  </si>
  <si>
    <t>National Cement Company - Lebec</t>
  </si>
  <si>
    <t>Naval Air Station Lemoore</t>
  </si>
  <si>
    <t>Naval Air Weapons Station China Lake</t>
  </si>
  <si>
    <t>China Lake</t>
  </si>
  <si>
    <t>Naval Medical Center - San Diego</t>
  </si>
  <si>
    <t>Nebraska Corn Processing, LLC</t>
  </si>
  <si>
    <t>Cambridge</t>
  </si>
  <si>
    <t>NE</t>
  </si>
  <si>
    <t>Nevada Power Company (dba NV Energy)</t>
  </si>
  <si>
    <t>Las Vegas</t>
  </si>
  <si>
    <t>NV</t>
  </si>
  <si>
    <t>New NGC, Inc - Long Beach</t>
  </si>
  <si>
    <t>New NGC, Inc - Richmond</t>
  </si>
  <si>
    <t>Newark Pacific Paperboard (opt-in 2013)</t>
  </si>
  <si>
    <t>New-Indy Ontario, LLC Linerboard Mill</t>
  </si>
  <si>
    <t>Ontario</t>
  </si>
  <si>
    <t>New-Indy Oxnard LLC</t>
  </si>
  <si>
    <t>Newport Fab, LLC (DBA TowerJazz Semiconductor)</t>
  </si>
  <si>
    <t>Nextera Energy Marketing, LLC</t>
  </si>
  <si>
    <t>Juno Beach</t>
  </si>
  <si>
    <t>NM Mid Valley Genco, LLC</t>
  </si>
  <si>
    <t>Noble Americas Corp. - Fuels</t>
  </si>
  <si>
    <t>Stamford</t>
  </si>
  <si>
    <t>CT</t>
  </si>
  <si>
    <t>Noble Americas Gas &amp; Power Corp.</t>
  </si>
  <si>
    <t>Noble Petro Inc</t>
  </si>
  <si>
    <t>Nong Shim America, Inc.</t>
  </si>
  <si>
    <t>493190 - Other Warehousing and Storage</t>
  </si>
  <si>
    <t>Nor-Cal Beverage Company, Inc. - Anaheim</t>
  </si>
  <si>
    <t>312111 - Soft Drink Manufacturing</t>
  </si>
  <si>
    <t>North Baja Pipeline</t>
  </si>
  <si>
    <t>Ehrenberg</t>
  </si>
  <si>
    <t>Northern California Power Agency - Geothermal Plant No. 1</t>
  </si>
  <si>
    <t>Northern California Power Agency - Geothermal Plant No. 2</t>
  </si>
  <si>
    <t>Northern California Power Agency (NCPA)</t>
  </si>
  <si>
    <t>Roseville</t>
  </si>
  <si>
    <t>Northrop Grumman - Palmdale</t>
  </si>
  <si>
    <t>Northrop Grumman Marine Systems - Sunnyvale</t>
  </si>
  <si>
    <t>333611 - Turbine and Turbine Generator Set Units Manufacturing</t>
  </si>
  <si>
    <t>Northrop Grumman Systems Corp. - El Segundo</t>
  </si>
  <si>
    <t>Northrop Grumman Systems Corp. - Redondo Beach</t>
  </si>
  <si>
    <t>NOVE Power Plant</t>
  </si>
  <si>
    <t>NRG Energy - El Cajon</t>
  </si>
  <si>
    <t>NRG Energy - El Segundo</t>
  </si>
  <si>
    <t>NRG Energy - Encina</t>
  </si>
  <si>
    <t>NRG Energy - Kearny 2 and 3</t>
  </si>
  <si>
    <t>NRG Energy - Long Beach</t>
  </si>
  <si>
    <t>NRG Energy - Miramar</t>
  </si>
  <si>
    <t>NRG Energy - San Francisco Thermal</t>
  </si>
  <si>
    <t xml:space="preserve">NRG, Marsh Landing Generating Station </t>
  </si>
  <si>
    <t>Oildale Energy LLC</t>
  </si>
  <si>
    <t>Olam West Coast Inc - Williams</t>
  </si>
  <si>
    <t>Olam West Coast Inc- Lemoore</t>
  </si>
  <si>
    <t>Olam West Coast, Inc. - Firebaugh</t>
  </si>
  <si>
    <t>311423 - Dried and Dehydrated Food Manufacturing</t>
  </si>
  <si>
    <t>Olam West Coast, Inc. - Gilroy (Opt-in 2018)</t>
  </si>
  <si>
    <t>Olive View Medical Center, Los Angeles County Department of Health Services</t>
  </si>
  <si>
    <t>Sylmar</t>
  </si>
  <si>
    <t>OLS Energy Chino</t>
  </si>
  <si>
    <t>Chino</t>
  </si>
  <si>
    <t>Orange County Central Utility Facility</t>
  </si>
  <si>
    <t>Orange County Sanitation District - Plant 1</t>
  </si>
  <si>
    <t>Bureau Veritas North America, Inc.</t>
  </si>
  <si>
    <t>Fountain Valley</t>
  </si>
  <si>
    <t>Orange County Sanitation District - Plant 2</t>
  </si>
  <si>
    <t>Orange Grove Energy Center</t>
  </si>
  <si>
    <t>Pala</t>
  </si>
  <si>
    <t>Orange Plant - R.J. Noble</t>
  </si>
  <si>
    <t>Orange</t>
  </si>
  <si>
    <t>Ormat Nevada, Inc. / ORNI 18 North Brawley - Geothermal</t>
  </si>
  <si>
    <t>Brawley</t>
  </si>
  <si>
    <t>Ormat Nevada, Inc./ GEM 2 &amp; 3 - Geothermal</t>
  </si>
  <si>
    <t>Holtville</t>
  </si>
  <si>
    <t>Ormond Beach Generating Station</t>
  </si>
  <si>
    <t>Otay Landfill Gas LLC</t>
  </si>
  <si>
    <t>Chula Vista</t>
  </si>
  <si>
    <t>Owens Corning Insulating Systems, LLC Santa Clara (Opt-In 2018)</t>
  </si>
  <si>
    <t>Owens-Brockway Glass Container, Tracy</t>
  </si>
  <si>
    <t>TRC Solutions, Inc.</t>
  </si>
  <si>
    <t>Tracy</t>
  </si>
  <si>
    <t>Owens-Brockway Glass Container, Vernon</t>
  </si>
  <si>
    <t>PABCO Clay Products, LLC, dba Gladding McBean</t>
  </si>
  <si>
    <t>PABCO Paper</t>
  </si>
  <si>
    <t>Pacific Clay Products</t>
  </si>
  <si>
    <t>Lake Elsionre</t>
  </si>
  <si>
    <t>327120 - Clay Building Material and Refractories Manufacturing</t>
  </si>
  <si>
    <t>Pacific Coast Energy Company LP</t>
  </si>
  <si>
    <t>Orcutt</t>
  </si>
  <si>
    <t>Pacific Coast Producers</t>
  </si>
  <si>
    <t>Woodland</t>
  </si>
  <si>
    <t>Pacific Ethanol Madera, LLC</t>
  </si>
  <si>
    <t>Pacific Ethanol Stockton, LLC</t>
  </si>
  <si>
    <t>Pacific Gas and Electric Company (PG&amp;E) - Electric Power Entity</t>
  </si>
  <si>
    <t xml:space="preserve">San Francisco </t>
  </si>
  <si>
    <t>Pacific Gas and Electric Company (PG&amp;E) - Gas Distribution System Fugitive Emissions (San Francisco, CA)</t>
  </si>
  <si>
    <t xml:space="preserve">Pacific Gas and Electric Company (PG&amp;E) - Supplier of Natural Gas </t>
  </si>
  <si>
    <t>Pacific Ultrapower Chinese</t>
  </si>
  <si>
    <t>Jamestown</t>
  </si>
  <si>
    <t>PacifiCorp</t>
  </si>
  <si>
    <t>Pactiv - Red Bluff</t>
  </si>
  <si>
    <t>322299 - All Other Converted Paper Product Manufacturing</t>
  </si>
  <si>
    <t>Panoche Energy Center, LLC</t>
  </si>
  <si>
    <t xml:space="preserve">Paramount Petroleum Corporation </t>
  </si>
  <si>
    <t>Paramount Petroleum Corporation - Fuel Supplier</t>
  </si>
  <si>
    <t>Pasadena Water and Power, 91101</t>
  </si>
  <si>
    <t>Pasadena Water and Power, Glenarm</t>
  </si>
  <si>
    <t>Patua Project - EPE</t>
  </si>
  <si>
    <t>Hazen</t>
  </si>
  <si>
    <t>PE-Berkeley, Inc</t>
  </si>
  <si>
    <t>Peninsula Clean Energy (PCE)</t>
  </si>
  <si>
    <t>Redwood City</t>
  </si>
  <si>
    <t>Petro-Diamond</t>
  </si>
  <si>
    <t>PG&amp;E Burney Compressor Station</t>
  </si>
  <si>
    <t>PG&amp;E Colusa Generating Station</t>
  </si>
  <si>
    <t>Maxwell</t>
  </si>
  <si>
    <t>PG&amp;E Delevan Compressor Station</t>
  </si>
  <si>
    <t>PG&amp;E Gateway Generating Station</t>
  </si>
  <si>
    <t>PG&amp;E Gerber Compressor Station</t>
  </si>
  <si>
    <t>Gerber</t>
  </si>
  <si>
    <t>PG&amp;E Hinkley Compressor Station</t>
  </si>
  <si>
    <t>PG&amp;E Humboldt Bay Generating Station</t>
  </si>
  <si>
    <t>Eureka</t>
  </si>
  <si>
    <t>PG&amp;E Kettleman Compressor Station</t>
  </si>
  <si>
    <t>PG&amp;E McDonald Island Underground Storage Station</t>
  </si>
  <si>
    <t>Stocton</t>
  </si>
  <si>
    <t>PG&amp;E Tionesta Compressor Station</t>
  </si>
  <si>
    <t>Tionesta</t>
  </si>
  <si>
    <t>PG&amp;E Topock Compressor Station</t>
  </si>
  <si>
    <t>Phillips 66 Company - Fuel Supplier</t>
  </si>
  <si>
    <t>Phillips 66 Company - Los Angeles Refinery - Carson Plant</t>
  </si>
  <si>
    <t>Phillips 66 Company - Los Angeles Refinery - Wilmington Plant</t>
  </si>
  <si>
    <t>Phillips 66 Company - San Francisco Carbon Plant</t>
  </si>
  <si>
    <t>Phillips 66 Company - San Francisco Refinery</t>
  </si>
  <si>
    <t>C,P,Y</t>
  </si>
  <si>
    <t>Refinery and Hydrogen Plant</t>
  </si>
  <si>
    <t>Phillips 66 Company - Santa Maria Refinery</t>
  </si>
  <si>
    <t>Arroyo Grande</t>
  </si>
  <si>
    <t>Pilkington North America, Lathrop Plant</t>
  </si>
  <si>
    <t>Pilot Power Group, Inc.</t>
  </si>
  <si>
    <t>Pio Pico Energy Center</t>
  </si>
  <si>
    <t>Pitchess Cogeneration Station</t>
  </si>
  <si>
    <t>Saugus</t>
  </si>
  <si>
    <t>Pittsburg Power Company dba Island Energy - EPE</t>
  </si>
  <si>
    <t>Vallejo</t>
  </si>
  <si>
    <t>Pixley Cogeneration Partners / Calgren Renewable Fuels</t>
  </si>
  <si>
    <t>Pixley</t>
  </si>
  <si>
    <t>C,PP</t>
  </si>
  <si>
    <t>Plains LPG Services/ Lone Star Frac &amp; Isom Facility</t>
  </si>
  <si>
    <t>C,NN,P,W</t>
  </si>
  <si>
    <t>Plains Marketing, L.P.</t>
  </si>
  <si>
    <t>Calgary</t>
  </si>
  <si>
    <t>T2P 0A7</t>
  </si>
  <si>
    <t>Plumas-Sierra REC</t>
  </si>
  <si>
    <t>Portola</t>
  </si>
  <si>
    <t>Port of Oakland</t>
  </si>
  <si>
    <t>Port of Stockton, 95203</t>
  </si>
  <si>
    <t>Portland General Electric Company</t>
  </si>
  <si>
    <t>Potrero Hills Energy Producers, LLC</t>
  </si>
  <si>
    <t>Power and Water Resources Pooling Authority (PWRPA)</t>
  </si>
  <si>
    <t>Powerex Corp - AO/CS</t>
  </si>
  <si>
    <t>Vancouver</t>
  </si>
  <si>
    <t>V6C 2X8</t>
  </si>
  <si>
    <t>Powerex Corp. - Marketer</t>
  </si>
  <si>
    <t>Praxair Inc.</t>
  </si>
  <si>
    <t>Press Forge Co</t>
  </si>
  <si>
    <t>Prime Wheel Corporation</t>
  </si>
  <si>
    <t>Gardena</t>
  </si>
  <si>
    <t>336390 - Other Motor Vehicle Parts Manufacturing</t>
  </si>
  <si>
    <t>Procter &amp; Gamble Manufacturing Co. - Sacramento Plant (opt-in 2017)</t>
  </si>
  <si>
    <t>Saramento</t>
  </si>
  <si>
    <t>ProEnergy - Greenleaf Energy Unit 1, LLC</t>
  </si>
  <si>
    <t>ProEnergy - Greenleaf Energy Unit 2, LLC</t>
  </si>
  <si>
    <t>ProPetroleum Inc.</t>
  </si>
  <si>
    <t xml:space="preserve">Lubbock </t>
  </si>
  <si>
    <t>Puget Sound Energy</t>
  </si>
  <si>
    <t>Bellevue</t>
  </si>
  <si>
    <t>Qualcomm, Inc. - Morehouse Facility</t>
  </si>
  <si>
    <t>541990 - All Other Professional, Scientific, and Technical Services</t>
  </si>
  <si>
    <t>Qualcomm, Inc. - Pacific Center Facility</t>
  </si>
  <si>
    <t>Quemetco, Inc.</t>
  </si>
  <si>
    <t>C,R</t>
  </si>
  <si>
    <t>Questar Southern Trails</t>
  </si>
  <si>
    <t>Farmington</t>
  </si>
  <si>
    <t>NM</t>
  </si>
  <si>
    <t>Rady Children's Hospital San Diego</t>
  </si>
  <si>
    <t>622310 - Specialty (except Psychiatric and Substance Abuse) Hospitals</t>
  </si>
  <si>
    <t>Rainbow Energy Marketing Corporation (REMC)</t>
  </si>
  <si>
    <t>Bismarck</t>
  </si>
  <si>
    <t>ND</t>
  </si>
  <si>
    <t>Rancho Cucamonga Municipal Utility</t>
  </si>
  <si>
    <t>Redding Electric Utility</t>
  </si>
  <si>
    <t>Redding Electric Utility - Redding Power Generation</t>
  </si>
  <si>
    <t>Renewable Energy Group</t>
  </si>
  <si>
    <t>Ames</t>
  </si>
  <si>
    <t>IA</t>
  </si>
  <si>
    <t>Richard J Donovan Correctional Facility</t>
  </si>
  <si>
    <t>Rio Bravo Fresno</t>
  </si>
  <si>
    <t>Rio Bravo Rocklin</t>
  </si>
  <si>
    <t>Rio Tinto - Wilmington</t>
  </si>
  <si>
    <t>River City Petroleum</t>
  </si>
  <si>
    <t>Riverside Public Utilities - Clearwater Facility</t>
  </si>
  <si>
    <t>Riverside Public Utilities - Riverside Energy Resource Center</t>
  </si>
  <si>
    <t>Robinson Oil Supply &amp; Transport</t>
  </si>
  <si>
    <t>Rohr, Inc. a UTC Aerospace Systems Company-Cogen Plant</t>
  </si>
  <si>
    <t>336413 - Other Aircraft Parts and Auxiliary Equipment Manufacturing</t>
  </si>
  <si>
    <t>Roseburg Forest Products</t>
  </si>
  <si>
    <t>Weed</t>
  </si>
  <si>
    <t>321212 - Softwood Veneer and Plywood Manufacturing</t>
  </si>
  <si>
    <t>Roseville Electric</t>
  </si>
  <si>
    <t>Roseville Electric, Roseville Energy Park</t>
  </si>
  <si>
    <t>RTC Fuels, LLC</t>
  </si>
  <si>
    <t>Sacramento Municipal Utility District (SMUD) - Electric Power Entity</t>
  </si>
  <si>
    <t>Sacramento Municipal Utility District (SMUD) - Gas Pipeline</t>
  </si>
  <si>
    <t>Sacramento Municipal Utility District (SMUD) , Carson Ice CG</t>
  </si>
  <si>
    <t>Sacramento Municipal Utility District (SMUD) , Cosumnes Power Plant</t>
  </si>
  <si>
    <t>Herald</t>
  </si>
  <si>
    <t>Sacramento Municipal Utility District (SMUD) , SCA</t>
  </si>
  <si>
    <t>Sacramento Municipal Utility District (SMUD) , SPA</t>
  </si>
  <si>
    <t>Sacramento Rendering Company</t>
  </si>
  <si>
    <t>Safety-Kleen of California Inc.</t>
  </si>
  <si>
    <t>324191 - Petroleum Lubricating Oil and Grease Manufacturing</t>
  </si>
  <si>
    <t>Saint Agnes Medical Center</t>
  </si>
  <si>
    <t>Saint Bernardine Medical Center</t>
  </si>
  <si>
    <t>San Bernardino</t>
  </si>
  <si>
    <t>Salinas River Cogeneration Facility</t>
  </si>
  <si>
    <t>Salt River Project</t>
  </si>
  <si>
    <t>San Benito Foods</t>
  </si>
  <si>
    <t>Hollister</t>
  </si>
  <si>
    <t>San Diego Gas &amp; Electric (SDG&amp;E) - Electric Power Entity</t>
  </si>
  <si>
    <t>San Diego Gas and Electric (SDG&amp;E) - Local Distribution</t>
  </si>
  <si>
    <t>San Diego Gas and Electric (SDG&amp;E) - Natural Gas Distribution Sub W</t>
  </si>
  <si>
    <t>San Francisco General Hospital</t>
  </si>
  <si>
    <t>San Francisco Hetch Hetchy Water and Power, CCSF</t>
  </si>
  <si>
    <t>San Francisco International Airport (SFO)</t>
  </si>
  <si>
    <t>481111 - Scheduled Passenger Air Transportation</t>
  </si>
  <si>
    <t>San Francisco Southeast Treatment Plant</t>
  </si>
  <si>
    <t>San Fracisco</t>
  </si>
  <si>
    <t>San Joaquin Cogen, LLC</t>
  </si>
  <si>
    <t>San Joaquin Refining Company</t>
  </si>
  <si>
    <t>San Joaquin Refining Company - Fuel Supplier</t>
  </si>
  <si>
    <t>San Jose/Santa Clara Regional Wastewater Facility</t>
  </si>
  <si>
    <t>San Marcos Energy LLC</t>
  </si>
  <si>
    <t>San Marcos</t>
  </si>
  <si>
    <t>Santa Barbara Cottage Hospital</t>
  </si>
  <si>
    <t>Santa Barbara</t>
  </si>
  <si>
    <t>Santa Clara Valley Medical Center</t>
  </si>
  <si>
    <t>Santa Cruz Energy LLC</t>
  </si>
  <si>
    <t>Santa Cruz</t>
  </si>
  <si>
    <t>Santa Maria Energy, LLC, Careaga Lease</t>
  </si>
  <si>
    <t>Saputo Cheese USA Inc. - Newman</t>
  </si>
  <si>
    <t>Newman</t>
  </si>
  <si>
    <t>Saputo Cheese USA Inc. - Paige</t>
  </si>
  <si>
    <t>Saputo Cheese USA Inc.- Levin</t>
  </si>
  <si>
    <t>Sargent Canyon Cogeneration Facility</t>
  </si>
  <si>
    <t>Schlosser Forge Company</t>
  </si>
  <si>
    <t>Cucamonga</t>
  </si>
  <si>
    <t>Scotia Sawmill Cogen</t>
  </si>
  <si>
    <t>Scotia</t>
  </si>
  <si>
    <t>SDG&amp;E - Cuyamaca Peak Energy Plant</t>
  </si>
  <si>
    <t>SDG&amp;E - Miramar Energy Facility</t>
  </si>
  <si>
    <t>SDG&amp;E - Moreno Compressor Station</t>
  </si>
  <si>
    <t>SDG&amp;E - Palomar Energy Center</t>
  </si>
  <si>
    <t>Searles Valley Minerals Inc.</t>
  </si>
  <si>
    <t>Trona</t>
  </si>
  <si>
    <t>212391 - Potash, Soda, and Borate Mineral Mining</t>
  </si>
  <si>
    <t>SEI Fuel Services, Inc.</t>
  </si>
  <si>
    <t>Irving</t>
  </si>
  <si>
    <t>447110 - Gasoline Stations with Convenience Stores</t>
  </si>
  <si>
    <t>Sempra Gas &amp; Power Marketing, LLC</t>
  </si>
  <si>
    <t xml:space="preserve">Seneca Foods Corporation </t>
  </si>
  <si>
    <t>Seneca San Joaquin Production Facilities</t>
  </si>
  <si>
    <t>Sensient Natural Ingredients LLC</t>
  </si>
  <si>
    <t>Sentinel Energy Center, LLC</t>
  </si>
  <si>
    <t>North Palm Springs</t>
  </si>
  <si>
    <t>Sentinel Peak Resources - SJV Basin Facility</t>
  </si>
  <si>
    <t>Sentinel Peak Resources- Arroyo Grande Oil Production Facility</t>
  </si>
  <si>
    <t>SFPP L.P. - Colton Terminal</t>
  </si>
  <si>
    <t>Bloomington</t>
  </si>
  <si>
    <t>Sharp Grossmont Hospital</t>
  </si>
  <si>
    <t>La Mesa</t>
  </si>
  <si>
    <t>Shell Chemical LP - Martinez Catalyst Plant</t>
  </si>
  <si>
    <t>Shell Energy North America (US), L.P. - EPE</t>
  </si>
  <si>
    <t>Shell Oil Products US - Martinez</t>
  </si>
  <si>
    <t>Shell Oil Products US - Supply - Fuel Supplier</t>
  </si>
  <si>
    <t>MM,NN</t>
  </si>
  <si>
    <t>Shell Trading US Company - Fuel Supplier</t>
  </si>
  <si>
    <t>Shiralian Enterprises</t>
  </si>
  <si>
    <t>Shultz Steel Company</t>
  </si>
  <si>
    <t>Sierra Aluminum Company</t>
  </si>
  <si>
    <t>331318 - Other Aluminum Rolling, Drawing, and Extruding</t>
  </si>
  <si>
    <t>Sierra Pacific Industries (SPI) - Anderson, 96007</t>
  </si>
  <si>
    <t>Anderson</t>
  </si>
  <si>
    <t>Sierra Pacific Industries (SPI) - Arcata</t>
  </si>
  <si>
    <t>Arcata</t>
  </si>
  <si>
    <t>Sierra Pacific Industries (SPI) - Burney</t>
  </si>
  <si>
    <t>Sierra Pacific Industries (SPI) - Lincoln</t>
  </si>
  <si>
    <t>Sierra Pacific Industries (SPI) - Quincy Division</t>
  </si>
  <si>
    <t>Quincy</t>
  </si>
  <si>
    <t>Sierra Pacific Industries (SPI) - Shasta Lake</t>
  </si>
  <si>
    <t>Sierra Pacific Industries (SPI) - Sonora</t>
  </si>
  <si>
    <t>Sonora</t>
  </si>
  <si>
    <t>Sierra Pacific Power Company (dba NV Energy)</t>
  </si>
  <si>
    <t xml:space="preserve">las vegas </t>
  </si>
  <si>
    <t>Signal Hill Petroleum Facilities</t>
  </si>
  <si>
    <t>Signal Hill</t>
  </si>
  <si>
    <t>Silicon Valley Power (SVP), City of Santa Clara</t>
  </si>
  <si>
    <t>Silicon Valley Power (SVP), City of Santa Clara , Cogen</t>
  </si>
  <si>
    <t>Silicon Valley Power (SVP), City of Santa Clara , DVR</t>
  </si>
  <si>
    <t>Simi Valley Landfill and Recycling Center</t>
  </si>
  <si>
    <t>Simi Valley</t>
  </si>
  <si>
    <t>Solar Turbines Incorporated - Kearny Mesa</t>
  </si>
  <si>
    <t>Sonoma Clean Power (SCP)</t>
  </si>
  <si>
    <t>Santa Rosa</t>
  </si>
  <si>
    <t>Sonoma County Landfill Gas to Energy</t>
  </si>
  <si>
    <t>Petaluma</t>
  </si>
  <si>
    <t>Sonoma Developmental Center</t>
  </si>
  <si>
    <t>Eldridge</t>
  </si>
  <si>
    <t>623210 - Residential Mental Retardation Facilities</t>
  </si>
  <si>
    <t>Southeast Resource Recovery Facility (SERRF)</t>
  </si>
  <si>
    <t>Southern California Edison (SCE) - Barre Peaker</t>
  </si>
  <si>
    <t>Stanton</t>
  </si>
  <si>
    <t>Southern California Edison (SCE) - Center Peaker</t>
  </si>
  <si>
    <t>Norwalk</t>
  </si>
  <si>
    <t>Southern California Edison (SCE) - Electric Power Entity</t>
  </si>
  <si>
    <t>Rosemead</t>
  </si>
  <si>
    <t>Southern California Edison (SCE) - Grapeland Peaker</t>
  </si>
  <si>
    <t>Southern California Edison (SCE) - McGrath Peaker</t>
  </si>
  <si>
    <t>Southern California Edison (SCE) - Mira Loma Peaker</t>
  </si>
  <si>
    <t>Southern California Edison (SCE) - Mountainview Generating Station</t>
  </si>
  <si>
    <t>Redlands</t>
  </si>
  <si>
    <t>Southern California Edison (SCE) - Pebbly Beach</t>
  </si>
  <si>
    <t>Avalon</t>
  </si>
  <si>
    <t>Southern California Gas Co - Aliso Canyon Facility</t>
  </si>
  <si>
    <t>Northridge</t>
  </si>
  <si>
    <t>Southern California Gas Co - Blythe Facility</t>
  </si>
  <si>
    <t>Southern California Gas Co - Distribution</t>
  </si>
  <si>
    <t>Southern California Gas Co - Honor Rancho Facility</t>
  </si>
  <si>
    <t>Valencia</t>
  </si>
  <si>
    <t>Southern California Gas Co - Newberry Springs Facility</t>
  </si>
  <si>
    <t>Newberry Springs</t>
  </si>
  <si>
    <t>Southern California Gas Co - South Needles Facility</t>
  </si>
  <si>
    <t>Southern California Gas Co - Wheeler Ridge Compressor Station</t>
  </si>
  <si>
    <t>Southern California Gas Company - End User Emissions</t>
  </si>
  <si>
    <t>Southern Counties Oil Co., A California Limited Partnership</t>
  </si>
  <si>
    <t>Southwest Gas Distribution Facilities</t>
  </si>
  <si>
    <t>NN,W</t>
  </si>
  <si>
    <t>Spreckels Sugar Company, Inc.- Brawley</t>
  </si>
  <si>
    <t>Environmental Audit, Inc.</t>
  </si>
  <si>
    <t>311313 - Beet Sugar Manufacturing</t>
  </si>
  <si>
    <t>SRI International Cogen Project</t>
  </si>
  <si>
    <t>Menlo Park</t>
  </si>
  <si>
    <t>Stanford University</t>
  </si>
  <si>
    <t>Stanislaus Food Products</t>
  </si>
  <si>
    <t>State of California Central Utility Plant - General Services</t>
  </si>
  <si>
    <t>Steelscape Inc.</t>
  </si>
  <si>
    <t>332812 - Metal Coating, Engraving (except Jewelry and Silverware), and Allied Services to Manufacturers</t>
  </si>
  <si>
    <t>Suburban Propane</t>
  </si>
  <si>
    <t>Whippany</t>
  </si>
  <si>
    <t>NJ</t>
  </si>
  <si>
    <t>Sunrise Power Company</t>
  </si>
  <si>
    <t>Sunshine Gas Producers, LLC</t>
  </si>
  <si>
    <t>Surprise Valley Electrification Corp.</t>
  </si>
  <si>
    <t>Alturas</t>
  </si>
  <si>
    <t>Sycamore Cogeneration Facility</t>
  </si>
  <si>
    <t>Sycamore Energy LLC</t>
  </si>
  <si>
    <t>Santee</t>
  </si>
  <si>
    <t>Tacoma Power - ACS</t>
  </si>
  <si>
    <t>Tacoma</t>
  </si>
  <si>
    <t>TAMCO</t>
  </si>
  <si>
    <t>331111 - Iron and Steel Mills</t>
  </si>
  <si>
    <t>C,Q</t>
  </si>
  <si>
    <t>Tehachapi Cummings County Water District</t>
  </si>
  <si>
    <t>Tenaska Power Services Co.</t>
  </si>
  <si>
    <t>Arlington</t>
  </si>
  <si>
    <t>Terra-Gen Dixie Valley, LLC</t>
  </si>
  <si>
    <t>Reno</t>
  </si>
  <si>
    <t xml:space="preserve">Tesla Motors </t>
  </si>
  <si>
    <t>Fremont</t>
  </si>
  <si>
    <t>336111 - Automobile Manufacturing</t>
  </si>
  <si>
    <t>Tesoro Los Angeles Refinery - Wilmington Calciner</t>
  </si>
  <si>
    <t xml:space="preserve">Tesoro Refining &amp; Marketing Company LLC - Los Angeles Refinery - Carson </t>
  </si>
  <si>
    <t>Tesoro Refining and Marketing - Fuel Supplier</t>
  </si>
  <si>
    <t>tbd</t>
  </si>
  <si>
    <t>Tesoro Refining and Marketing Co. - Martinez</t>
  </si>
  <si>
    <t>The Energy Authority, Inc.</t>
  </si>
  <si>
    <t>Jacksonville</t>
  </si>
  <si>
    <t>The P&amp;G Paper Products Co.</t>
  </si>
  <si>
    <t>The Regents of the University of California - EPE</t>
  </si>
  <si>
    <t>The Soco Group Inc.</t>
  </si>
  <si>
    <t>The Sun Valley Group</t>
  </si>
  <si>
    <t>Thermal Energy Development Partnership, L.P.</t>
  </si>
  <si>
    <t>Tiger Natural Gas, Inc. - EPE</t>
  </si>
  <si>
    <t>Tulsa</t>
  </si>
  <si>
    <t>OK</t>
  </si>
  <si>
    <t>Timber Products Company Yreka Veneer</t>
  </si>
  <si>
    <t>Yreka</t>
  </si>
  <si>
    <t>Tomatek / Neil Jones Food Companies</t>
  </si>
  <si>
    <t>Torrance Refinery</t>
  </si>
  <si>
    <t>TORRANCE</t>
  </si>
  <si>
    <t>Torrance Refining Company LLC  - Fuel Supplier</t>
  </si>
  <si>
    <t>Torrance</t>
  </si>
  <si>
    <t>Tracy Peaker Plant</t>
  </si>
  <si>
    <t>TransAlta Energy Marketing (US), Inc.</t>
  </si>
  <si>
    <t>T2P2M1</t>
  </si>
  <si>
    <t>TransCanada Energy Sales Ltd.</t>
  </si>
  <si>
    <t>T2P 5H1</t>
  </si>
  <si>
    <t>TRC Cypress Group, LLC</t>
  </si>
  <si>
    <t>Tricor Refining, LLC</t>
  </si>
  <si>
    <t>Truckee Donner Public Utility District</t>
  </si>
  <si>
    <t>Truckee</t>
  </si>
  <si>
    <t>TST, Inc.</t>
  </si>
  <si>
    <t>Turlock Irrigation District (TID)</t>
  </si>
  <si>
    <t>Turlock Irrigation District (TID), Almond Power Plant</t>
  </si>
  <si>
    <t>Turlock Irrigation District/ Walnut Energy Center</t>
  </si>
  <si>
    <t>Tuscarora Gas Transmission Pipeline</t>
  </si>
  <si>
    <t>Twin Eagle Resource Management, LLC</t>
  </si>
  <si>
    <t>U.S. Borax, 93516</t>
  </si>
  <si>
    <t>U.S. Gypsum Co Plaster City Plant</t>
  </si>
  <si>
    <t>UC Davis Medical Center</t>
  </si>
  <si>
    <t>Ultramar Inc - Valero Wilmington</t>
  </si>
  <si>
    <t>Union Pacific Railroad Company</t>
  </si>
  <si>
    <t>Omaha</t>
  </si>
  <si>
    <t>Unisource Electric Power Marketing</t>
  </si>
  <si>
    <t>Tucson</t>
  </si>
  <si>
    <t>United Airlines, Inc. - San Francisco Maintenance Center</t>
  </si>
  <si>
    <t>488190 - Other Support Activities for Air Transportation</t>
  </si>
  <si>
    <t>United Pacific Energy</t>
  </si>
  <si>
    <t>United States Pipe &amp; Foundry Co. LLC</t>
  </si>
  <si>
    <t>Union City</t>
  </si>
  <si>
    <t>University of California, Berkeley (opt-in 2015)</t>
  </si>
  <si>
    <t>University of California, Davis</t>
  </si>
  <si>
    <t>University of California, Irvine</t>
  </si>
  <si>
    <t>University of California, Los Angeles, UCLA</t>
  </si>
  <si>
    <t>University of California, Riverside, UCR</t>
  </si>
  <si>
    <t>University of California, San Diego, UCSD</t>
  </si>
  <si>
    <t>La Jolla</t>
  </si>
  <si>
    <t>University of California, San Francisco</t>
  </si>
  <si>
    <t>University of California, Santa Barbara (opt-in 2015)</t>
  </si>
  <si>
    <t>University of California, Santa Cruz, UCSC EH&amp;S Office</t>
  </si>
  <si>
    <t>University of Southern California (USC) - University Park Campus (UPC)</t>
  </si>
  <si>
    <t>USS-POSCO Industries</t>
  </si>
  <si>
    <t>VA Greater Los Angeles Healthcare System</t>
  </si>
  <si>
    <t>621491 - HMO Medical Centers</t>
  </si>
  <si>
    <t>VA San Diego Healthcare System</t>
  </si>
  <si>
    <t>923140 - Administration of Veterans' Affairs</t>
  </si>
  <si>
    <t>Valero Marketing and Supply Company - Fuel Supplier</t>
  </si>
  <si>
    <t>San Antonio</t>
  </si>
  <si>
    <t>Valero Refining Company - California, Benicia Refinery and Benicia Asphalt Plant</t>
  </si>
  <si>
    <t>Benicia</t>
  </si>
  <si>
    <t>Valero Wilmington Asphalt Plant</t>
  </si>
  <si>
    <t>Valley Electric Association</t>
  </si>
  <si>
    <t>Pahrump</t>
  </si>
  <si>
    <t>Vandenberg Air Force Base</t>
  </si>
  <si>
    <t>Vandenberg AFB</t>
  </si>
  <si>
    <t>Venoco Inc. - SB Channel (Onshore)</t>
  </si>
  <si>
    <t>Ventura Coastal</t>
  </si>
  <si>
    <t>333294 - Food Product Machinery Manufacturing</t>
  </si>
  <si>
    <t>Victorville Municipal Utility Services - EPE</t>
  </si>
  <si>
    <t>Victorville Municipal Utility Services - Gas Utility</t>
  </si>
  <si>
    <t>Vista Metals Corp.</t>
  </si>
  <si>
    <t>Vitol - Fuel Supplier</t>
  </si>
  <si>
    <t>Vitol Inc. - EPE</t>
  </si>
  <si>
    <t>Vitro Flat Glass LLC</t>
  </si>
  <si>
    <t>Wadham Energy Ltd Partnership</t>
  </si>
  <si>
    <t>Walnut Creek Energy, LLC</t>
  </si>
  <si>
    <t>WAPA - Desert Southwest Region</t>
  </si>
  <si>
    <t>WAPA - Sierra Nevada Region</t>
  </si>
  <si>
    <t>Folsom</t>
  </si>
  <si>
    <t>Waste Management - Altamont Landfill</t>
  </si>
  <si>
    <t>Waste Management - El Sobrante Landfill</t>
  </si>
  <si>
    <t>Weber Metals</t>
  </si>
  <si>
    <t xml:space="preserve">Paramount </t>
  </si>
  <si>
    <t>West Coast Gas Company Inc</t>
  </si>
  <si>
    <t>Western Milling, Goshen CA</t>
  </si>
  <si>
    <t>Gosh</t>
  </si>
  <si>
    <t>Western Refining Company LP - Fuel Supplier</t>
  </si>
  <si>
    <t>El Paso</t>
  </si>
  <si>
    <t>Wheelabrator Norwalk Energy Company, Inc.</t>
  </si>
  <si>
    <t>Wheelabrator Shasta Energy Company</t>
  </si>
  <si>
    <t>Wild Goose Storage LLC</t>
  </si>
  <si>
    <t>Wildflower Energy, LP - Indigo Generation, LLC</t>
  </si>
  <si>
    <t>N. Palm Springs</t>
  </si>
  <si>
    <t>Wildflower Energy, LP - Larkspur Energy Facility, LLC</t>
  </si>
  <si>
    <t>Windset Farms</t>
  </si>
  <si>
    <t>Wm. Bolthouse Farms, Inc.</t>
  </si>
  <si>
    <t>311991 - Perishable Prepared Food Manufacturing</t>
  </si>
  <si>
    <t>Woodland Biomass Power, Ltd</t>
  </si>
  <si>
    <t>WP&amp;A Firebaugh</t>
  </si>
  <si>
    <t>311911 - Roasted Nuts and Peanut Butter Manufacturing</t>
  </si>
  <si>
    <t>WP&amp;A King</t>
  </si>
  <si>
    <t>Lost Hills</t>
  </si>
  <si>
    <t>WP&amp;A Lost Hills</t>
  </si>
  <si>
    <t>WWF Operating Company</t>
  </si>
  <si>
    <t>Yara West Sacramento Terminal, LLC</t>
  </si>
  <si>
    <t>West Sacramento</t>
  </si>
  <si>
    <t>424910 - Farm Supplies Merchant Wholesalers</t>
  </si>
  <si>
    <t>Yuba City Cogeneration Partners LP</t>
  </si>
  <si>
    <t>ZGlobal Inc.</t>
  </si>
  <si>
    <t xml:space="preserve">Folsom </t>
  </si>
  <si>
    <t>Cardinal Cogen</t>
  </si>
  <si>
    <t>California Department of Water Resources (DWR), State Water Project</t>
  </si>
  <si>
    <t>Coyote Canyon Energy LLC</t>
  </si>
  <si>
    <t>General Mills Cereal Properties, LLC</t>
  </si>
  <si>
    <t>Orchard Energy LLC</t>
  </si>
  <si>
    <t>Owens-Brockway Glass Container, Oakland</t>
  </si>
  <si>
    <t>Self Serve Petroleum, Inc.</t>
  </si>
  <si>
    <t>Sunray Energy, Inc</t>
  </si>
  <si>
    <t>SunSelect Produce (California) Inc</t>
  </si>
  <si>
    <t>111419  - Other Food Crops Grown Under Cover</t>
  </si>
  <si>
    <t>Annual Summary of GHG Mandatory Reporting
Non-Confidential Data for Calendar Year 2016</t>
  </si>
  <si>
    <t>The summary data shown were submitted to the California Air Resources Board to comply with the requirements of the Regulation for the Mandatory Reporting of Greenhouse Gas Emissions (MRR). The regulation is available here: https://ww2.arb.ca.gov/mrr-regulation</t>
  </si>
  <si>
    <t>Goodrich Corporation</t>
  </si>
  <si>
    <t xml:space="preserve">Santa Fe Springs </t>
  </si>
  <si>
    <t>Adelante Consulting, Inc.</t>
  </si>
  <si>
    <t>Emissions shown are typically provided in units of metric tons of carbon dioxide equivalents, shown as metric tons CO2e. On a per molecule basis, different greenhouse gases (GHGs) have different intensities in their contribution to global warming. To normalize these differences, individual gases are multiplied by a Global Warming Potential (GWP) factor. The CO2e totals shown, which include emissions from carbon dioxide (CO2), methane (CH4), and nitrous oxide (N2O), are multiplied by their respective GWPs of 1, 21, and 310 prior to being added to the totals. The GWPs used are from Title 40, Part 98 of the Code of Federal Regulations, Subpart A, Table A-1, as published in the Federal Register on October 30, 2009 (http://www.arb.ca.gov/cc/reporting/ghg-rep/regulation/subpart a rule part98.pdf)</t>
  </si>
  <si>
    <t>Display of the emissions categories, or subparts, that were reported. The names for the individual subparts are available in the U.S. EPA GHG Mandatory Reporting Regulation (40 CFR Part 98), which is available here: http://www.ecfr.gov/cgi-bin/text-idx?c=ecfr&amp;tpl=/ecfrbrowse/Title40/40cfr98 main 02.tpl. The Subpart "EPE" categorization refers to Electric Power Entities, which is specific to California reporting.</t>
  </si>
  <si>
    <t>Calpine - Gilroy Cogen, L.P., Gilroy Cogen_Peaker</t>
  </si>
  <si>
    <t>Calpine - King City Cogen, LLC, King City Cogen_Peaker</t>
  </si>
  <si>
    <t>Milk Specialties Global</t>
  </si>
  <si>
    <t>Positive (revised)</t>
  </si>
  <si>
    <t>Neste US, Inc.</t>
  </si>
  <si>
    <t>California State Prison - Sacramento</t>
  </si>
  <si>
    <t>Represa</t>
  </si>
  <si>
    <t>Central Valley Meat</t>
  </si>
  <si>
    <t>Pacific Continental Textiles</t>
  </si>
  <si>
    <t>East Rancho Dominguez</t>
  </si>
  <si>
    <t>333249 - Other Industrial Machinery Manufacturing</t>
  </si>
  <si>
    <t>Palo Alto V.A. Health Care System Division</t>
  </si>
  <si>
    <t>Transwestern - Topock</t>
  </si>
  <si>
    <t>golden shores</t>
  </si>
  <si>
    <t>Interstate Pipeline</t>
  </si>
  <si>
    <t>Vaquero Energy - North Garey</t>
  </si>
  <si>
    <t>311119 - Other Animal Food Manufacturing</t>
  </si>
  <si>
    <t>Trinity Public Utility District (PUD)</t>
  </si>
  <si>
    <t>Weaverville</t>
  </si>
  <si>
    <t>Previously released November 4, 2020</t>
  </si>
  <si>
    <t>Revised November 4, 2022: Updates were made to include new reporters and/or revised data.</t>
  </si>
  <si>
    <t>Revised November 4, 2022</t>
  </si>
  <si>
    <t>This column displays the verification status for certified reported product data, based on a review by an ARB-accredited third-party verifier. Only certain specified facilities or entities are required to submit product data.  Product data are not displayed in this Annual Summary Report because they may include confidential business information that will not be publicly released.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</si>
</sst>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2" x14ac:knownFonts="1">
    <font>
      <sz val="11"/>
      <color theme="1"/>
      <name val="Calibri"/>
      <family val="2"/>
      <scheme val="minor"/>
    </font>
    <font>
      <sz val="11"/>
      <color theme="1"/>
      <name val="Calibri"/>
      <family val="2"/>
      <scheme val="minor"/>
    </font>
    <font>
      <b/>
      <sz val="11"/>
      <color theme="0"/>
      <name val="Calibri"/>
      <family val="2"/>
    </font>
    <font>
      <b/>
      <sz val="11"/>
      <color theme="0"/>
      <name val="Calibri"/>
      <family val="2"/>
      <scheme val="minor"/>
    </font>
    <font>
      <b/>
      <sz val="11"/>
      <color theme="1"/>
      <name val="Calibri"/>
      <family val="2"/>
      <scheme val="minor"/>
    </font>
    <font>
      <b/>
      <sz val="11"/>
      <color theme="0"/>
      <name val="Calibri"/>
      <family val="2"/>
    </font>
    <font>
      <b/>
      <sz val="12"/>
      <color theme="0"/>
      <name val="Calibri"/>
      <family val="2"/>
      <scheme val="minor"/>
    </font>
    <font>
      <sz val="11"/>
      <color theme="1"/>
      <name val="Wingdings"/>
      <charset val="2"/>
    </font>
    <font>
      <sz val="11"/>
      <color theme="0"/>
      <name val="Calibri"/>
      <family val="2"/>
    </font>
    <font>
      <vertAlign val="subscript"/>
      <sz val="11"/>
      <color theme="0"/>
      <name val="Calibri"/>
      <family val="2"/>
    </font>
    <font>
      <b/>
      <vertAlign val="subscript"/>
      <sz val="11"/>
      <color theme="0"/>
      <name val="Calibri"/>
      <family val="2"/>
    </font>
    <font>
      <u/>
      <sz val="11"/>
      <color theme="1"/>
      <name val="Calibri"/>
      <family val="2"/>
      <scheme val="minor"/>
    </font>
    <font>
      <vertAlign val="subscript"/>
      <sz val="11"/>
      <color theme="1"/>
      <name val="Calibri"/>
      <family val="2"/>
      <scheme val="minor"/>
    </font>
    <font>
      <b/>
      <sz val="11"/>
      <name val="Calibri"/>
      <family val="2"/>
    </font>
    <font>
      <sz val="10"/>
      <color indexed="8"/>
      <name val="Arial"/>
      <family val="2"/>
    </font>
    <font>
      <sz val="10"/>
      <name val="Arial"/>
      <family val="2"/>
    </font>
    <font>
      <sz val="11"/>
      <name val="Calibri"/>
      <family val="2"/>
      <scheme val="minor"/>
    </font>
    <font>
      <sz val="11"/>
      <color theme="4" tint="-0.249977111117893"/>
      <name val="Calibri"/>
      <family val="2"/>
      <scheme val="minor"/>
    </font>
    <font>
      <b/>
      <sz val="14"/>
      <color rgb="FFFF0000"/>
      <name val="Calibri"/>
      <family val="2"/>
      <scheme val="minor"/>
    </font>
    <font>
      <sz val="11"/>
      <color theme="1"/>
      <name val="Arial"/>
      <family val="2"/>
    </font>
    <font>
      <vertAlign val="subscript"/>
      <sz val="11"/>
      <name val="Calibri"/>
      <family val="2"/>
      <scheme val="minor"/>
    </font>
    <font>
      <b/>
      <sz val="11"/>
      <name val="Calibri"/>
      <family val="2"/>
      <scheme val="minor"/>
    </font>
    <font>
      <sz val="11"/>
      <color rgb="FFC00000"/>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4"/>
      <color rgb="FFFF0000"/>
      <name val="Calibri"/>
      <family val="2"/>
      <scheme val="minor"/>
    </font>
    <font>
      <sz val="11"/>
      <color theme="1"/>
      <name val="Calibri"/>
      <family val="2"/>
    </font>
    <font>
      <vertAlign val="subscript"/>
      <sz val="11"/>
      <color theme="1"/>
      <name val="Calibri"/>
      <family val="2"/>
    </font>
    <font>
      <sz val="11"/>
      <color rgb="FF000000"/>
      <name val="Calibri"/>
      <family val="2"/>
    </font>
    <font>
      <b/>
      <vertAlign val="subscript"/>
      <sz val="11"/>
      <color theme="1"/>
      <name val="Calibri"/>
      <family val="2"/>
      <scheme val="minor"/>
    </font>
    <font>
      <b/>
      <sz val="11"/>
      <color rgb="FFC00000"/>
      <name val="Calibri"/>
      <family val="2"/>
      <scheme val="minor"/>
    </font>
  </fonts>
  <fills count="15">
    <fill>
      <patternFill patternType="none"/>
    </fill>
    <fill>
      <patternFill patternType="gray125"/>
    </fill>
    <fill>
      <patternFill patternType="none">
        <fgColor rgb="FF000000"/>
        <bgColor rgb="FFFFFFFF"/>
      </patternFill>
    </fill>
    <fill>
      <patternFill patternType="solid">
        <fgColor theme="8" tint="-0.249977111117893"/>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rgb="FF799FCD"/>
        <bgColor indexed="64"/>
      </patternFill>
    </fill>
  </fills>
  <borders count="21">
    <border>
      <left/>
      <right/>
      <top/>
      <bottom/>
      <diagonal/>
    </border>
    <border>
      <left/>
      <right/>
      <top/>
      <bottom style="thin">
        <color theme="0" tint="-0.14993743705557422"/>
      </bottom>
      <diagonal/>
    </border>
    <border>
      <left style="thin">
        <color theme="0" tint="-0.14993743705557422"/>
      </left>
      <right/>
      <top/>
      <bottom style="thin">
        <color theme="0" tint="-0.14993743705557422"/>
      </bottom>
      <diagonal/>
    </border>
    <border>
      <left style="thin">
        <color theme="0"/>
      </left>
      <right style="thin">
        <color theme="0"/>
      </right>
      <top style="thin">
        <color theme="0"/>
      </top>
      <bottom style="thin">
        <color theme="0"/>
      </bottom>
      <diagonal/>
    </border>
    <border>
      <left/>
      <right style="thin">
        <color theme="0" tint="-0.14993743705557422"/>
      </right>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top style="thin">
        <color theme="0" tint="-0.14993743705557422"/>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tint="-0.14993743705557422"/>
      </right>
      <top style="thin">
        <color theme="0" tint="-0.14993743705557422"/>
      </top>
      <bottom/>
      <diagonal/>
    </border>
    <border>
      <left style="thin">
        <color theme="0"/>
      </left>
      <right/>
      <top style="thin">
        <color theme="0"/>
      </top>
      <bottom/>
      <diagonal/>
    </border>
    <border>
      <left/>
      <right/>
      <top style="thin">
        <color theme="0"/>
      </top>
      <bottom/>
      <diagonal/>
    </border>
    <border>
      <left/>
      <right style="medium">
        <color rgb="FFBFBFBF"/>
      </right>
      <top/>
      <bottom style="medium">
        <color rgb="FFBFBFBF"/>
      </bottom>
      <diagonal/>
    </border>
  </borders>
  <cellStyleXfs count="62">
    <xf numFmtId="0" fontId="0" fillId="0" borderId="0"/>
    <xf numFmtId="43" fontId="1" fillId="0" borderId="0" applyFont="0" applyFill="0" applyBorder="0" applyAlignment="0" applyProtection="0"/>
    <xf numFmtId="0" fontId="1" fillId="2" borderId="0"/>
    <xf numFmtId="43" fontId="1" fillId="2" borderId="0" applyFont="0" applyFill="0" applyBorder="0" applyAlignment="0" applyProtection="0"/>
    <xf numFmtId="0" fontId="1" fillId="2" borderId="0"/>
    <xf numFmtId="43" fontId="1" fillId="2" borderId="0" applyFont="0" applyFill="0" applyBorder="0" applyAlignment="0" applyProtection="0"/>
    <xf numFmtId="0" fontId="1" fillId="2" borderId="0"/>
    <xf numFmtId="0" fontId="1" fillId="2" borderId="0"/>
    <xf numFmtId="43" fontId="14" fillId="2" borderId="0" applyFont="0" applyFill="0" applyBorder="0" applyAlignment="0" applyProtection="0"/>
    <xf numFmtId="0" fontId="15" fillId="2" borderId="0"/>
    <xf numFmtId="0" fontId="14" fillId="2" borderId="0"/>
    <xf numFmtId="0" fontId="14"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9" fontId="1" fillId="2" borderId="0" applyFont="0" applyFill="0" applyBorder="0" applyAlignment="0" applyProtection="0"/>
    <xf numFmtId="0" fontId="1" fillId="2" borderId="0"/>
    <xf numFmtId="0" fontId="15" fillId="2" borderId="0" applyNumberFormat="0" applyFill="0" applyBorder="0" applyAlignment="0" applyProtection="0"/>
    <xf numFmtId="43" fontId="1" fillId="2" borderId="0" applyFont="0" applyFill="0" applyBorder="0" applyAlignment="0" applyProtection="0"/>
    <xf numFmtId="43" fontId="1" fillId="2" borderId="0" applyFont="0" applyFill="0" applyBorder="0" applyAlignment="0" applyProtection="0"/>
    <xf numFmtId="0" fontId="15" fillId="2" borderId="0"/>
    <xf numFmtId="0" fontId="19" fillId="2" borderId="0"/>
    <xf numFmtId="0" fontId="1" fillId="2" borderId="0"/>
    <xf numFmtId="0" fontId="1" fillId="2" borderId="0"/>
    <xf numFmtId="0" fontId="15" fillId="2" borderId="0"/>
    <xf numFmtId="0" fontId="19"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cellStyleXfs>
  <cellXfs count="108">
    <xf numFmtId="0" fontId="0" fillId="0" borderId="0" xfId="0"/>
    <xf numFmtId="0" fontId="0" fillId="0" borderId="0" xfId="0" applyFill="1"/>
    <xf numFmtId="0" fontId="3" fillId="0" borderId="0" xfId="0" applyFont="1" applyFill="1" applyBorder="1" applyAlignment="1">
      <alignment horizontal="center" vertical="center"/>
    </xf>
    <xf numFmtId="0" fontId="4" fillId="0" borderId="0" xfId="0" applyFont="1" applyAlignment="1">
      <alignment horizontal="center"/>
    </xf>
    <xf numFmtId="0" fontId="6" fillId="0" borderId="0" xfId="0" applyFont="1" applyFill="1" applyBorder="1" applyAlignment="1">
      <alignment horizontal="center"/>
    </xf>
    <xf numFmtId="0" fontId="5" fillId="0" borderId="2" xfId="0" applyFont="1" applyFill="1" applyBorder="1" applyAlignment="1" applyProtection="1">
      <alignment horizontal="center" vertical="center" wrapText="1"/>
    </xf>
    <xf numFmtId="0" fontId="3" fillId="0" borderId="0" xfId="0" applyFont="1" applyFill="1"/>
    <xf numFmtId="164" fontId="0" fillId="0" borderId="0" xfId="1" applyNumberFormat="1" applyFont="1"/>
    <xf numFmtId="164" fontId="5" fillId="0" borderId="2" xfId="1" applyNumberFormat="1" applyFont="1" applyFill="1" applyBorder="1" applyAlignment="1" applyProtection="1">
      <alignment horizontal="center" vertical="center" wrapText="1"/>
    </xf>
    <xf numFmtId="0" fontId="0" fillId="0" borderId="0" xfId="0" applyAlignment="1">
      <alignment horizontal="center"/>
    </xf>
    <xf numFmtId="0" fontId="5" fillId="3" borderId="13" xfId="0" applyFont="1" applyFill="1" applyBorder="1" applyAlignment="1" applyProtection="1">
      <alignment horizontal="center" vertical="center" wrapText="1"/>
    </xf>
    <xf numFmtId="0" fontId="2" fillId="0" borderId="13" xfId="0" applyFont="1" applyFill="1" applyBorder="1" applyAlignment="1" applyProtection="1">
      <alignment horizontal="center" vertical="center" wrapText="1"/>
    </xf>
    <xf numFmtId="0" fontId="2" fillId="4" borderId="13" xfId="0" applyFont="1" applyFill="1" applyBorder="1" applyAlignment="1" applyProtection="1">
      <alignment horizontal="center" vertical="center" wrapText="1"/>
    </xf>
    <xf numFmtId="0" fontId="13" fillId="0" borderId="13" xfId="0" applyFont="1" applyFill="1" applyBorder="1" applyAlignment="1" applyProtection="1">
      <alignment horizontal="center" vertical="center" wrapText="1"/>
    </xf>
    <xf numFmtId="0" fontId="2" fillId="6" borderId="13" xfId="0" applyFont="1" applyFill="1" applyBorder="1" applyAlignment="1" applyProtection="1">
      <alignment horizontal="center" vertical="center" wrapText="1"/>
    </xf>
    <xf numFmtId="0" fontId="2" fillId="6" borderId="14" xfId="0" applyFont="1" applyFill="1" applyBorder="1" applyAlignment="1" applyProtection="1">
      <alignment horizontal="center" vertical="center" wrapText="1"/>
    </xf>
    <xf numFmtId="0" fontId="5" fillId="0" borderId="14" xfId="0" applyFont="1" applyFill="1" applyBorder="1" applyAlignment="1" applyProtection="1">
      <alignment horizontal="center" vertical="center" wrapText="1"/>
    </xf>
    <xf numFmtId="0" fontId="2" fillId="9" borderId="15" xfId="0" applyNumberFormat="1" applyFont="1" applyFill="1" applyBorder="1" applyAlignment="1" applyProtection="1">
      <alignment horizontal="center" vertical="center" wrapText="1"/>
    </xf>
    <xf numFmtId="0" fontId="5" fillId="0" borderId="4" xfId="0" applyFont="1" applyFill="1" applyBorder="1" applyAlignment="1" applyProtection="1">
      <alignment horizontal="center" vertical="center" wrapText="1"/>
    </xf>
    <xf numFmtId="0" fontId="1" fillId="2" borderId="0" xfId="15"/>
    <xf numFmtId="0" fontId="4" fillId="8" borderId="5" xfId="15" applyFont="1" applyFill="1" applyBorder="1"/>
    <xf numFmtId="0" fontId="1" fillId="2" borderId="5" xfId="15" applyBorder="1" applyAlignment="1">
      <alignment horizontal="center" vertical="top"/>
    </xf>
    <xf numFmtId="0" fontId="1" fillId="2" borderId="5" xfId="15" applyBorder="1" applyAlignment="1">
      <alignment horizontal="left" vertical="top"/>
    </xf>
    <xf numFmtId="0" fontId="1" fillId="2" borderId="5" xfId="15" applyBorder="1" applyAlignment="1">
      <alignment horizontal="left" vertical="top" wrapText="1"/>
    </xf>
    <xf numFmtId="0" fontId="1" fillId="11" borderId="5" xfId="15" applyFill="1" applyBorder="1" applyAlignment="1">
      <alignment horizontal="center" vertical="top"/>
    </xf>
    <xf numFmtId="0" fontId="1" fillId="11" borderId="5" xfId="15" applyFill="1" applyBorder="1" applyAlignment="1">
      <alignment horizontal="left" vertical="top" wrapText="1"/>
    </xf>
    <xf numFmtId="0" fontId="0" fillId="2" borderId="11" xfId="15" applyFont="1" applyFill="1" applyBorder="1" applyAlignment="1">
      <alignment horizontal="left" vertical="top"/>
    </xf>
    <xf numFmtId="0" fontId="0" fillId="2" borderId="12" xfId="15" applyFont="1" applyFill="1" applyBorder="1" applyAlignment="1">
      <alignment horizontal="right" vertical="top"/>
    </xf>
    <xf numFmtId="0" fontId="2" fillId="2" borderId="0" xfId="15" applyFont="1" applyFill="1" applyBorder="1" applyAlignment="1" applyProtection="1">
      <alignment horizontal="center" vertical="center" wrapText="1"/>
    </xf>
    <xf numFmtId="0" fontId="4" fillId="2" borderId="11" xfId="15" applyFont="1" applyFill="1" applyBorder="1" applyAlignment="1">
      <alignment horizontal="left" vertical="top"/>
    </xf>
    <xf numFmtId="0" fontId="1" fillId="2" borderId="6" xfId="15" applyBorder="1" applyAlignment="1">
      <alignment horizontal="center" vertical="top"/>
    </xf>
    <xf numFmtId="0" fontId="1" fillId="2" borderId="6" xfId="15" applyBorder="1" applyAlignment="1">
      <alignment horizontal="left" vertical="top" wrapText="1"/>
    </xf>
    <xf numFmtId="0" fontId="1" fillId="2" borderId="7" xfId="15" applyBorder="1" applyAlignment="1">
      <alignment horizontal="center" vertical="top"/>
    </xf>
    <xf numFmtId="0" fontId="1" fillId="2" borderId="7" xfId="15" applyBorder="1" applyAlignment="1">
      <alignment horizontal="left" vertical="top" wrapText="1"/>
    </xf>
    <xf numFmtId="0" fontId="1" fillId="2" borderId="0" xfId="15" applyAlignment="1">
      <alignment horizontal="left" vertical="top"/>
    </xf>
    <xf numFmtId="0" fontId="1" fillId="2" borderId="0" xfId="15" applyAlignment="1">
      <alignment horizontal="left" vertical="top" wrapText="1"/>
    </xf>
    <xf numFmtId="0" fontId="1" fillId="4" borderId="0" xfId="15" applyFill="1"/>
    <xf numFmtId="0" fontId="6" fillId="4" borderId="0" xfId="15" applyFont="1" applyFill="1" applyAlignment="1">
      <alignment horizontal="center" wrapText="1"/>
    </xf>
    <xf numFmtId="0" fontId="7" fillId="2" borderId="0" xfId="15" applyFont="1" applyBorder="1" applyAlignment="1">
      <alignment horizontal="right" vertical="top"/>
    </xf>
    <xf numFmtId="0" fontId="1" fillId="2" borderId="10" xfId="15" applyBorder="1" applyAlignment="1">
      <alignment vertical="top" wrapText="1"/>
    </xf>
    <xf numFmtId="0" fontId="0" fillId="2" borderId="5" xfId="15" applyFont="1" applyBorder="1" applyAlignment="1">
      <alignment horizontal="left" vertical="top" wrapText="1"/>
    </xf>
    <xf numFmtId="0" fontId="0" fillId="2" borderId="6" xfId="15" applyFont="1" applyBorder="1" applyAlignment="1">
      <alignment horizontal="left" vertical="top" wrapText="1"/>
    </xf>
    <xf numFmtId="0" fontId="0" fillId="2" borderId="9" xfId="15" applyFont="1" applyBorder="1" applyAlignment="1">
      <alignment vertical="top" wrapText="1"/>
    </xf>
    <xf numFmtId="0" fontId="0" fillId="2" borderId="6" xfId="15" applyFont="1" applyBorder="1" applyAlignment="1">
      <alignment vertical="top" wrapText="1"/>
    </xf>
    <xf numFmtId="0" fontId="16" fillId="0" borderId="0" xfId="0" applyFont="1" applyAlignment="1">
      <alignment horizontal="center"/>
    </xf>
    <xf numFmtId="0" fontId="17" fillId="0" borderId="0" xfId="0" applyFont="1" applyFill="1"/>
    <xf numFmtId="0" fontId="2" fillId="3" borderId="13" xfId="0" applyFont="1" applyFill="1" applyBorder="1" applyAlignment="1" applyProtection="1">
      <alignment horizontal="center" vertical="center" wrapText="1"/>
    </xf>
    <xf numFmtId="0" fontId="0" fillId="2" borderId="5" xfId="15" applyFont="1" applyBorder="1" applyAlignment="1">
      <alignment horizontal="center" vertical="top"/>
    </xf>
    <xf numFmtId="0" fontId="0" fillId="2" borderId="6" xfId="15" applyFont="1" applyBorder="1" applyAlignment="1">
      <alignment horizontal="center" vertical="top"/>
    </xf>
    <xf numFmtId="0" fontId="0" fillId="2" borderId="12" xfId="15" applyFont="1" applyBorder="1" applyAlignment="1">
      <alignment horizontal="left" vertical="top" wrapText="1"/>
    </xf>
    <xf numFmtId="0" fontId="0" fillId="2" borderId="8" xfId="15" applyFont="1" applyBorder="1" applyAlignment="1">
      <alignment vertical="top" wrapText="1"/>
    </xf>
    <xf numFmtId="0" fontId="18" fillId="0" borderId="0" xfId="0" applyFont="1"/>
    <xf numFmtId="0" fontId="0" fillId="2" borderId="5" xfId="15" applyFont="1" applyFill="1" applyBorder="1" applyAlignment="1">
      <alignment horizontal="left" vertical="top" wrapText="1"/>
    </xf>
    <xf numFmtId="164" fontId="2" fillId="12" borderId="14" xfId="1" applyNumberFormat="1" applyFont="1" applyFill="1" applyBorder="1" applyAlignment="1" applyProtection="1">
      <alignment horizontal="center" vertical="center" wrapText="1"/>
    </xf>
    <xf numFmtId="164" fontId="2" fillId="0" borderId="17" xfId="1" applyNumberFormat="1" applyFont="1" applyFill="1" applyBorder="1" applyAlignment="1" applyProtection="1">
      <alignment horizontal="center" vertical="center" wrapText="1"/>
    </xf>
    <xf numFmtId="0" fontId="2" fillId="9" borderId="18" xfId="0" applyNumberFormat="1" applyFont="1" applyFill="1" applyBorder="1" applyAlignment="1" applyProtection="1">
      <alignment horizontal="center" vertical="center" wrapText="1"/>
    </xf>
    <xf numFmtId="164" fontId="2" fillId="13" borderId="14" xfId="1" applyNumberFormat="1" applyFont="1" applyFill="1" applyBorder="1" applyAlignment="1" applyProtection="1">
      <alignment horizontal="center" vertical="center" wrapText="1"/>
    </xf>
    <xf numFmtId="0" fontId="16" fillId="2" borderId="5" xfId="15" applyFont="1" applyBorder="1" applyAlignment="1">
      <alignment horizontal="left" vertical="top" wrapText="1"/>
    </xf>
    <xf numFmtId="0" fontId="4" fillId="11" borderId="11" xfId="15" applyFont="1" applyFill="1" applyBorder="1" applyAlignment="1"/>
    <xf numFmtId="0" fontId="4" fillId="11" borderId="12" xfId="15" applyFont="1" applyFill="1" applyBorder="1" applyAlignment="1"/>
    <xf numFmtId="0" fontId="0" fillId="2" borderId="5" xfId="15" applyFont="1" applyBorder="1" applyAlignment="1">
      <alignment vertical="top" wrapText="1"/>
    </xf>
    <xf numFmtId="0" fontId="16" fillId="2" borderId="5" xfId="15" applyFont="1" applyBorder="1" applyAlignment="1">
      <alignment horizontal="center" vertical="top"/>
    </xf>
    <xf numFmtId="164" fontId="2" fillId="14" borderId="14" xfId="1" applyNumberFormat="1" applyFont="1" applyFill="1" applyBorder="1" applyAlignment="1" applyProtection="1">
      <alignment horizontal="center" vertical="center" wrapText="1"/>
    </xf>
    <xf numFmtId="164" fontId="0" fillId="0" borderId="0" xfId="1" applyNumberFormat="1" applyFont="1" applyFill="1"/>
    <xf numFmtId="0" fontId="25" fillId="0" borderId="0" xfId="15" applyFont="1" applyFill="1" applyAlignment="1">
      <alignment wrapText="1"/>
    </xf>
    <xf numFmtId="0" fontId="26" fillId="0" borderId="0" xfId="0" applyFont="1"/>
    <xf numFmtId="0" fontId="0" fillId="0" borderId="0" xfId="0" applyFill="1" applyAlignment="1"/>
    <xf numFmtId="0" fontId="16" fillId="0" borderId="9" xfId="15" applyFont="1" applyFill="1" applyBorder="1" applyAlignment="1">
      <alignment vertical="top" wrapText="1"/>
    </xf>
    <xf numFmtId="0" fontId="16" fillId="0" borderId="0" xfId="15" applyFont="1" applyFill="1" applyAlignment="1">
      <alignment vertical="top" wrapText="1"/>
    </xf>
    <xf numFmtId="0" fontId="22" fillId="2" borderId="0" xfId="15" applyFont="1"/>
    <xf numFmtId="0" fontId="16" fillId="0" borderId="0" xfId="0" applyFont="1" applyAlignment="1">
      <alignment vertical="top" wrapText="1"/>
    </xf>
    <xf numFmtId="0" fontId="27" fillId="0" borderId="20" xfId="0" applyFont="1" applyBorder="1" applyAlignment="1">
      <alignment horizontal="left" vertical="top" wrapText="1"/>
    </xf>
    <xf numFmtId="0" fontId="29" fillId="0" borderId="20" xfId="0" applyFont="1" applyBorder="1" applyAlignment="1">
      <alignment vertical="center" wrapText="1"/>
    </xf>
    <xf numFmtId="0" fontId="16" fillId="0" borderId="5" xfId="15" applyFont="1" applyFill="1" applyBorder="1" applyAlignment="1">
      <alignment horizontal="center" vertical="top"/>
    </xf>
    <xf numFmtId="0" fontId="16" fillId="2" borderId="6" xfId="15" applyFont="1" applyBorder="1" applyAlignment="1">
      <alignment horizontal="left" vertical="top" wrapText="1"/>
    </xf>
    <xf numFmtId="0" fontId="0" fillId="0" borderId="6" xfId="15" applyFont="1" applyFill="1" applyBorder="1" applyAlignment="1">
      <alignment vertical="top" wrapText="1"/>
    </xf>
    <xf numFmtId="0" fontId="16" fillId="2" borderId="5" xfId="15" applyFont="1" applyFill="1" applyBorder="1" applyAlignment="1">
      <alignment horizontal="left" vertical="top" wrapText="1"/>
    </xf>
    <xf numFmtId="0" fontId="0" fillId="2" borderId="0" xfId="0" applyFill="1"/>
    <xf numFmtId="0" fontId="0" fillId="2" borderId="0" xfId="0" applyFill="1" applyAlignment="1">
      <alignment horizontal="center"/>
    </xf>
    <xf numFmtId="164" fontId="0" fillId="2" borderId="0" xfId="5" applyNumberFormat="1" applyFont="1"/>
    <xf numFmtId="0" fontId="16" fillId="2" borderId="0" xfId="0" applyFont="1" applyFill="1"/>
    <xf numFmtId="0" fontId="3" fillId="2" borderId="0" xfId="0" applyFont="1" applyFill="1" applyAlignment="1">
      <alignment horizontal="center" vertical="center"/>
    </xf>
    <xf numFmtId="0" fontId="22" fillId="2" borderId="0" xfId="0" applyFont="1" applyFill="1" applyAlignment="1">
      <alignment horizontal="center" vertical="center"/>
    </xf>
    <xf numFmtId="0" fontId="16" fillId="2" borderId="0" xfId="0" applyFont="1" applyFill="1" applyAlignment="1"/>
    <xf numFmtId="0" fontId="0" fillId="2" borderId="0" xfId="0" applyFill="1" applyAlignment="1"/>
    <xf numFmtId="0" fontId="4" fillId="2" borderId="0" xfId="0" applyFont="1" applyFill="1" applyAlignment="1">
      <alignment horizontal="right"/>
    </xf>
    <xf numFmtId="0" fontId="4" fillId="2" borderId="0" xfId="0" applyFont="1" applyFill="1"/>
    <xf numFmtId="3" fontId="31" fillId="2" borderId="0" xfId="0" applyNumberFormat="1" applyFont="1" applyFill="1" applyAlignment="1">
      <alignment horizontal="right"/>
    </xf>
    <xf numFmtId="0" fontId="21" fillId="2" borderId="0" xfId="0" applyFont="1" applyFill="1" applyAlignment="1">
      <alignment horizontal="center" vertical="center"/>
    </xf>
    <xf numFmtId="3" fontId="0" fillId="2" borderId="0" xfId="0" applyNumberFormat="1" applyFill="1"/>
    <xf numFmtId="0" fontId="0" fillId="0" borderId="0" xfId="0" applyNumberFormat="1" applyAlignment="1">
      <alignment horizontal="center"/>
    </xf>
    <xf numFmtId="0" fontId="4" fillId="11" borderId="11" xfId="15" applyFont="1" applyFill="1" applyBorder="1" applyAlignment="1">
      <alignment horizontal="left"/>
    </xf>
    <xf numFmtId="0" fontId="4" fillId="11" borderId="12" xfId="15" applyFont="1" applyFill="1" applyBorder="1" applyAlignment="1">
      <alignment horizontal="left"/>
    </xf>
    <xf numFmtId="0" fontId="3" fillId="4" borderId="0" xfId="15" applyFont="1" applyFill="1" applyAlignment="1">
      <alignment horizontal="center" wrapText="1"/>
    </xf>
    <xf numFmtId="0" fontId="21" fillId="2" borderId="0" xfId="0" applyFont="1" applyFill="1" applyAlignment="1">
      <alignment horizontal="center" vertical="center"/>
    </xf>
    <xf numFmtId="0" fontId="22" fillId="2" borderId="0" xfId="61" applyFont="1" applyFill="1" applyAlignment="1">
      <alignment horizontal="left" vertical="top"/>
    </xf>
    <xf numFmtId="0" fontId="4" fillId="0" borderId="0" xfId="0" applyFont="1" applyAlignment="1">
      <alignment horizontal="center"/>
    </xf>
    <xf numFmtId="0" fontId="2" fillId="10" borderId="16" xfId="0" applyNumberFormat="1" applyFont="1" applyFill="1" applyBorder="1" applyAlignment="1" applyProtection="1">
      <alignment horizontal="center" vertical="center" wrapText="1"/>
    </xf>
    <xf numFmtId="0" fontId="2" fillId="10" borderId="19" xfId="0" applyNumberFormat="1" applyFont="1" applyFill="1" applyBorder="1" applyAlignment="1" applyProtection="1">
      <alignment horizontal="center" vertical="center" wrapText="1"/>
    </xf>
    <xf numFmtId="0" fontId="6" fillId="3" borderId="0" xfId="0" applyFont="1" applyFill="1" applyBorder="1" applyAlignment="1">
      <alignment horizontal="center" wrapText="1"/>
    </xf>
    <xf numFmtId="0" fontId="2" fillId="10" borderId="3" xfId="0" applyNumberFormat="1" applyFont="1" applyFill="1" applyBorder="1" applyAlignment="1" applyProtection="1">
      <alignment horizontal="center" vertical="center" wrapText="1"/>
    </xf>
    <xf numFmtId="0" fontId="2" fillId="5" borderId="2" xfId="0" applyFont="1" applyFill="1" applyBorder="1" applyAlignment="1" applyProtection="1">
      <alignment horizontal="center" vertical="center" wrapText="1"/>
    </xf>
    <xf numFmtId="0" fontId="2" fillId="5" borderId="4" xfId="0" applyFont="1" applyFill="1" applyBorder="1" applyAlignment="1" applyProtection="1">
      <alignment horizontal="center" vertical="center" wrapText="1"/>
    </xf>
    <xf numFmtId="0" fontId="22" fillId="0" borderId="1" xfId="0" applyFont="1" applyBorder="1" applyAlignment="1">
      <alignment horizontal="left" vertical="center" wrapText="1"/>
    </xf>
    <xf numFmtId="0" fontId="3" fillId="7" borderId="1" xfId="0" applyFont="1" applyFill="1" applyBorder="1" applyAlignment="1">
      <alignment horizontal="center" vertical="center" wrapText="1"/>
    </xf>
    <xf numFmtId="164" fontId="2" fillId="4" borderId="2" xfId="1" applyNumberFormat="1" applyFont="1" applyFill="1" applyBorder="1" applyAlignment="1" applyProtection="1">
      <alignment horizontal="center" vertical="center" wrapText="1"/>
    </xf>
    <xf numFmtId="164" fontId="2" fillId="4" borderId="1" xfId="1" applyNumberFormat="1" applyFont="1" applyFill="1" applyBorder="1" applyAlignment="1" applyProtection="1">
      <alignment horizontal="center" vertical="center" wrapText="1"/>
    </xf>
    <xf numFmtId="164" fontId="2" fillId="4" borderId="4" xfId="1" applyNumberFormat="1" applyFont="1" applyFill="1" applyBorder="1" applyAlignment="1" applyProtection="1">
      <alignment horizontal="center" vertical="center" wrapText="1"/>
    </xf>
  </cellXfs>
  <cellStyles count="62">
    <cellStyle name="_x0010_“+ˆÉ•?pý¤" xfId="25" xr:uid="{00000000-0005-0000-0000-000000000000}"/>
    <cellStyle name="Comma" xfId="1" builtinId="3"/>
    <cellStyle name="Comma 2" xfId="5" xr:uid="{00000000-0005-0000-0000-000002000000}"/>
    <cellStyle name="Comma 2 2" xfId="26" xr:uid="{00000000-0005-0000-0000-000003000000}"/>
    <cellStyle name="Comma 3" xfId="3" xr:uid="{00000000-0005-0000-0000-000004000000}"/>
    <cellStyle name="Comma 3 2" xfId="8" xr:uid="{00000000-0005-0000-0000-000005000000}"/>
    <cellStyle name="Comma 4" xfId="27" xr:uid="{00000000-0005-0000-0000-000006000000}"/>
    <cellStyle name="Followed Hyperlink" xfId="49" builtinId="9" hidden="1"/>
    <cellStyle name="Followed Hyperlink" xfId="51" builtinId="9" hidden="1"/>
    <cellStyle name="Hyperlink" xfId="48" builtinId="8" hidden="1"/>
    <cellStyle name="Hyperlink" xfId="50" builtinId="8" hidden="1"/>
    <cellStyle name="Normal" xfId="0" builtinId="0"/>
    <cellStyle name="Normal 10" xfId="15" xr:uid="{00000000-0005-0000-0000-00000C000000}"/>
    <cellStyle name="Normal 10 2" xfId="28" xr:uid="{00000000-0005-0000-0000-00000D000000}"/>
    <cellStyle name="Normal 11" xfId="16" xr:uid="{00000000-0005-0000-0000-00000E000000}"/>
    <cellStyle name="Normal 12" xfId="17" xr:uid="{00000000-0005-0000-0000-00000F000000}"/>
    <cellStyle name="Normal 13" xfId="18" xr:uid="{00000000-0005-0000-0000-000010000000}"/>
    <cellStyle name="Normal 14" xfId="19" xr:uid="{00000000-0005-0000-0000-000011000000}"/>
    <cellStyle name="Normal 15" xfId="20" xr:uid="{00000000-0005-0000-0000-000012000000}"/>
    <cellStyle name="Normal 16" xfId="22" xr:uid="{00000000-0005-0000-0000-000013000000}"/>
    <cellStyle name="Normal 17" xfId="21" xr:uid="{00000000-0005-0000-0000-000014000000}"/>
    <cellStyle name="Normal 18" xfId="24" xr:uid="{00000000-0005-0000-0000-000015000000}"/>
    <cellStyle name="Normal 19" xfId="37" xr:uid="{00000000-0005-0000-0000-000016000000}"/>
    <cellStyle name="Normal 2" xfId="4" xr:uid="{00000000-0005-0000-0000-000017000000}"/>
    <cellStyle name="Normal 2 2" xfId="9" xr:uid="{00000000-0005-0000-0000-000018000000}"/>
    <cellStyle name="Normal 2 3" xfId="29" xr:uid="{00000000-0005-0000-0000-000019000000}"/>
    <cellStyle name="Normal 2 4" xfId="30" xr:uid="{00000000-0005-0000-0000-00001A000000}"/>
    <cellStyle name="Normal 20" xfId="38" xr:uid="{00000000-0005-0000-0000-00001B000000}"/>
    <cellStyle name="Normal 21" xfId="39" xr:uid="{00000000-0005-0000-0000-00001C000000}"/>
    <cellStyle name="Normal 22" xfId="44" xr:uid="{00000000-0005-0000-0000-00001D000000}"/>
    <cellStyle name="Normal 23" xfId="42" xr:uid="{00000000-0005-0000-0000-00001E000000}"/>
    <cellStyle name="Normal 24" xfId="41" xr:uid="{00000000-0005-0000-0000-00001F000000}"/>
    <cellStyle name="Normal 25" xfId="43" xr:uid="{00000000-0005-0000-0000-000020000000}"/>
    <cellStyle name="Normal 26" xfId="40" xr:uid="{00000000-0005-0000-0000-000021000000}"/>
    <cellStyle name="Normal 27" xfId="34" xr:uid="{00000000-0005-0000-0000-000022000000}"/>
    <cellStyle name="Normal 28" xfId="36" xr:uid="{00000000-0005-0000-0000-000023000000}"/>
    <cellStyle name="Normal 29" xfId="45" xr:uid="{00000000-0005-0000-0000-000024000000}"/>
    <cellStyle name="Normal 3" xfId="2" xr:uid="{00000000-0005-0000-0000-000025000000}"/>
    <cellStyle name="Normal 3 2" xfId="10" xr:uid="{00000000-0005-0000-0000-000026000000}"/>
    <cellStyle name="Normal 30" xfId="35" xr:uid="{00000000-0005-0000-0000-000027000000}"/>
    <cellStyle name="Normal 31" xfId="46" xr:uid="{00000000-0005-0000-0000-000028000000}"/>
    <cellStyle name="Normal 32" xfId="47" xr:uid="{00000000-0005-0000-0000-000029000000}"/>
    <cellStyle name="Normal 33" xfId="53" xr:uid="{00000000-0005-0000-0000-00002A000000}"/>
    <cellStyle name="Normal 34" xfId="54" xr:uid="{00000000-0005-0000-0000-00002B000000}"/>
    <cellStyle name="Normal 35" xfId="55" xr:uid="{00000000-0005-0000-0000-00002C000000}"/>
    <cellStyle name="Normal 36" xfId="57" xr:uid="{00000000-0005-0000-0000-00002D000000}"/>
    <cellStyle name="Normal 37" xfId="58" xr:uid="{00000000-0005-0000-0000-00002E000000}"/>
    <cellStyle name="Normal 38" xfId="56" xr:uid="{00000000-0005-0000-0000-00002F000000}"/>
    <cellStyle name="Normal 39" xfId="59" xr:uid="{00000000-0005-0000-0000-000030000000}"/>
    <cellStyle name="Normal 4" xfId="11" xr:uid="{00000000-0005-0000-0000-000031000000}"/>
    <cellStyle name="Normal 4 2" xfId="31" xr:uid="{00000000-0005-0000-0000-000032000000}"/>
    <cellStyle name="Normal 40" xfId="60" xr:uid="{00000000-0005-0000-0000-000033000000}"/>
    <cellStyle name="Normal 41" xfId="52" xr:uid="{00000000-0005-0000-0000-000034000000}"/>
    <cellStyle name="Normal 42" xfId="61" xr:uid="{00000000-0005-0000-0000-000035000000}"/>
    <cellStyle name="Normal 5" xfId="6" xr:uid="{00000000-0005-0000-0000-000036000000}"/>
    <cellStyle name="Normal 5 2" xfId="32" xr:uid="{00000000-0005-0000-0000-000037000000}"/>
    <cellStyle name="Normal 6" xfId="7" xr:uid="{00000000-0005-0000-0000-000038000000}"/>
    <cellStyle name="Normal 6 2" xfId="33" xr:uid="{00000000-0005-0000-0000-000039000000}"/>
    <cellStyle name="Normal 7" xfId="12" xr:uid="{00000000-0005-0000-0000-00003A000000}"/>
    <cellStyle name="Normal 8" xfId="14" xr:uid="{00000000-0005-0000-0000-00003B000000}"/>
    <cellStyle name="Normal 9" xfId="13" xr:uid="{00000000-0005-0000-0000-00003C000000}"/>
    <cellStyle name="Percent 2" xfId="23" xr:uid="{00000000-0005-0000-0000-00003D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D3D3D3"/>
    </indexedColors>
    <mruColors>
      <color rgb="FFFFFFCC"/>
      <color rgb="FF799FCD"/>
      <color rgb="FF739BCB"/>
      <color rgb="FF82A5D0"/>
      <color rgb="FF8CADD4"/>
      <color rgb="FF7CA1CE"/>
      <color rgb="FF88A9D2"/>
      <color rgb="FFFF33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28575</xdr:rowOff>
    </xdr:from>
    <xdr:to>
      <xdr:col>2</xdr:col>
      <xdr:colOff>2905125</xdr:colOff>
      <xdr:row>4</xdr:row>
      <xdr:rowOff>3402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1925" y="28575"/>
          <a:ext cx="3171825" cy="6796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9525</xdr:colOff>
      <xdr:row>4</xdr:row>
      <xdr:rowOff>19050</xdr:rowOff>
    </xdr:from>
    <xdr:to>
      <xdr:col>8</xdr:col>
      <xdr:colOff>869945</xdr:colOff>
      <xdr:row>7</xdr:row>
      <xdr:rowOff>9751</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38800" y="628650"/>
          <a:ext cx="2860670" cy="6130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pageSetUpPr fitToPage="1"/>
  </sheetPr>
  <dimension ref="B1:C22"/>
  <sheetViews>
    <sheetView tabSelected="1" workbookViewId="0"/>
  </sheetViews>
  <sheetFormatPr defaultColWidth="8.85546875" defaultRowHeight="15" x14ac:dyDescent="0.25"/>
  <cols>
    <col min="1" max="1" width="1.85546875" style="19" customWidth="1"/>
    <col min="2" max="2" width="3.7109375" style="19" customWidth="1"/>
    <col min="3" max="3" width="106.42578125" style="19" customWidth="1"/>
    <col min="4" max="16384" width="8.85546875" style="19"/>
  </cols>
  <sheetData>
    <row r="1" spans="2:3" x14ac:dyDescent="0.25">
      <c r="C1" s="45"/>
    </row>
    <row r="4" spans="2:3" ht="10.5" customHeight="1" x14ac:dyDescent="0.25"/>
    <row r="5" spans="2:3" ht="31.5" x14ac:dyDescent="0.25">
      <c r="B5" s="36"/>
      <c r="C5" s="37" t="s">
        <v>123</v>
      </c>
    </row>
    <row r="6" spans="2:3" x14ac:dyDescent="0.25">
      <c r="B6" s="69" t="s">
        <v>1535</v>
      </c>
    </row>
    <row r="7" spans="2:3" ht="75" x14ac:dyDescent="0.25">
      <c r="B7" s="38" t="s">
        <v>9</v>
      </c>
      <c r="C7" s="42" t="s">
        <v>124</v>
      </c>
    </row>
    <row r="8" spans="2:3" ht="5.25" customHeight="1" x14ac:dyDescent="0.25">
      <c r="B8" s="38"/>
      <c r="C8" s="39"/>
    </row>
    <row r="9" spans="2:3" ht="45" x14ac:dyDescent="0.25">
      <c r="B9" s="38" t="s">
        <v>9</v>
      </c>
      <c r="C9" s="42" t="s">
        <v>1508</v>
      </c>
    </row>
    <row r="10" spans="2:3" ht="5.25" customHeight="1" x14ac:dyDescent="0.25">
      <c r="B10" s="38"/>
      <c r="C10" s="39"/>
    </row>
    <row r="11" spans="2:3" ht="45" x14ac:dyDescent="0.25">
      <c r="B11" s="38" t="s">
        <v>9</v>
      </c>
      <c r="C11" s="67" t="s">
        <v>100</v>
      </c>
    </row>
    <row r="12" spans="2:3" ht="5.25" customHeight="1" x14ac:dyDescent="0.25">
      <c r="B12" s="38"/>
      <c r="C12" s="39"/>
    </row>
    <row r="13" spans="2:3" ht="30" x14ac:dyDescent="0.25">
      <c r="B13" s="38" t="s">
        <v>9</v>
      </c>
      <c r="C13" s="42" t="s">
        <v>125</v>
      </c>
    </row>
    <row r="14" spans="2:3" ht="5.25" customHeight="1" x14ac:dyDescent="0.25">
      <c r="B14" s="38"/>
      <c r="C14" s="39"/>
    </row>
    <row r="15" spans="2:3" ht="35.25" customHeight="1" x14ac:dyDescent="0.25">
      <c r="B15" s="38" t="s">
        <v>9</v>
      </c>
      <c r="C15" s="42" t="s">
        <v>88</v>
      </c>
    </row>
    <row r="16" spans="2:3" ht="5.25" customHeight="1" x14ac:dyDescent="0.25">
      <c r="B16" s="38"/>
      <c r="C16" s="39"/>
    </row>
    <row r="17" spans="2:3" ht="48" customHeight="1" x14ac:dyDescent="0.25">
      <c r="B17" s="38" t="s">
        <v>9</v>
      </c>
      <c r="C17" s="42" t="s">
        <v>91</v>
      </c>
    </row>
    <row r="18" spans="2:3" ht="5.25" customHeight="1" x14ac:dyDescent="0.25">
      <c r="B18" s="38"/>
      <c r="C18" s="39"/>
    </row>
    <row r="19" spans="2:3" ht="45" x14ac:dyDescent="0.25">
      <c r="B19" s="38" t="s">
        <v>9</v>
      </c>
      <c r="C19" s="42" t="s">
        <v>89</v>
      </c>
    </row>
    <row r="20" spans="2:3" ht="5.25" customHeight="1" x14ac:dyDescent="0.25">
      <c r="B20" s="38"/>
      <c r="C20" s="39"/>
    </row>
    <row r="21" spans="2:3" ht="21.75" customHeight="1" x14ac:dyDescent="0.25">
      <c r="B21" s="38" t="s">
        <v>9</v>
      </c>
      <c r="C21" s="50" t="s">
        <v>120</v>
      </c>
    </row>
    <row r="22" spans="2:3" ht="33" customHeight="1" x14ac:dyDescent="0.25">
      <c r="B22" s="38" t="s">
        <v>9</v>
      </c>
      <c r="C22" s="68" t="s">
        <v>126</v>
      </c>
    </row>
  </sheetData>
  <pageMargins left="0.7" right="0.7" top="0.75" bottom="0.75" header="0.3" footer="0.3"/>
  <pageSetup fitToWidth="0" orientation="landscape"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249977111117893"/>
    <pageSetUpPr fitToPage="1"/>
  </sheetPr>
  <dimension ref="B1:I102"/>
  <sheetViews>
    <sheetView zoomScaleNormal="100" workbookViewId="0"/>
  </sheetViews>
  <sheetFormatPr defaultColWidth="8.85546875" defaultRowHeight="15" x14ac:dyDescent="0.25"/>
  <cols>
    <col min="1" max="1" width="2.7109375" style="19" customWidth="1"/>
    <col min="2" max="2" width="10.28515625" style="19" customWidth="1"/>
    <col min="3" max="3" width="28.85546875" style="19" customWidth="1"/>
    <col min="4" max="4" width="115.140625" style="19" customWidth="1"/>
    <col min="5" max="16384" width="8.85546875" style="19"/>
  </cols>
  <sheetData>
    <row r="1" spans="2:9" x14ac:dyDescent="0.25">
      <c r="B1" s="45"/>
    </row>
    <row r="2" spans="2:9" ht="30" customHeight="1" x14ac:dyDescent="0.25">
      <c r="B2" s="93" t="s">
        <v>127</v>
      </c>
      <c r="C2" s="93"/>
      <c r="D2" s="93"/>
    </row>
    <row r="4" spans="2:9" x14ac:dyDescent="0.25">
      <c r="B4" s="20" t="s">
        <v>10</v>
      </c>
      <c r="C4" s="20" t="s">
        <v>11</v>
      </c>
      <c r="D4" s="20" t="s">
        <v>12</v>
      </c>
    </row>
    <row r="5" spans="2:9" x14ac:dyDescent="0.25">
      <c r="B5" s="21" t="s">
        <v>13</v>
      </c>
      <c r="C5" s="22" t="s">
        <v>2</v>
      </c>
      <c r="D5" s="40" t="s">
        <v>68</v>
      </c>
    </row>
    <row r="6" spans="2:9" x14ac:dyDescent="0.25">
      <c r="B6" s="21" t="s">
        <v>0</v>
      </c>
      <c r="C6" s="22" t="s">
        <v>8</v>
      </c>
      <c r="D6" s="40" t="s">
        <v>69</v>
      </c>
    </row>
    <row r="7" spans="2:9" x14ac:dyDescent="0.25">
      <c r="B7" s="21" t="s">
        <v>1</v>
      </c>
      <c r="C7" s="40" t="s">
        <v>43</v>
      </c>
      <c r="D7" s="40" t="s">
        <v>70</v>
      </c>
    </row>
    <row r="8" spans="2:9" ht="7.5" customHeight="1" x14ac:dyDescent="0.25">
      <c r="B8" s="24"/>
      <c r="C8" s="25"/>
      <c r="D8" s="25"/>
    </row>
    <row r="9" spans="2:9" ht="105" x14ac:dyDescent="0.25">
      <c r="B9" s="21"/>
      <c r="C9" s="23" t="s">
        <v>35</v>
      </c>
      <c r="D9" s="57" t="s">
        <v>1512</v>
      </c>
      <c r="E9" s="64"/>
    </row>
    <row r="10" spans="2:9" ht="22.5" customHeight="1" x14ac:dyDescent="0.35">
      <c r="B10" s="91" t="s">
        <v>117</v>
      </c>
      <c r="C10" s="92"/>
      <c r="D10" s="25"/>
    </row>
    <row r="11" spans="2:9" ht="108" x14ac:dyDescent="0.25">
      <c r="B11" s="21" t="s">
        <v>14</v>
      </c>
      <c r="C11" s="23" t="s">
        <v>25</v>
      </c>
      <c r="D11" s="40" t="s">
        <v>101</v>
      </c>
    </row>
    <row r="12" spans="2:9" ht="96" x14ac:dyDescent="0.25">
      <c r="B12" s="21" t="s">
        <v>20</v>
      </c>
      <c r="C12" s="23" t="s">
        <v>19</v>
      </c>
      <c r="D12" s="40" t="s">
        <v>121</v>
      </c>
    </row>
    <row r="13" spans="2:9" ht="22.5" customHeight="1" x14ac:dyDescent="0.25">
      <c r="B13" s="91" t="s">
        <v>39</v>
      </c>
      <c r="C13" s="92"/>
      <c r="D13" s="25"/>
    </row>
    <row r="14" spans="2:9" ht="48" x14ac:dyDescent="0.25">
      <c r="B14" s="26"/>
      <c r="C14" s="27" t="s">
        <v>38</v>
      </c>
      <c r="D14" s="52" t="s">
        <v>122</v>
      </c>
    </row>
    <row r="15" spans="2:9" ht="54" x14ac:dyDescent="0.25">
      <c r="B15" s="21" t="s">
        <v>21</v>
      </c>
      <c r="C15" s="40" t="s">
        <v>114</v>
      </c>
      <c r="D15" s="76" t="s">
        <v>119</v>
      </c>
      <c r="I15" s="28"/>
    </row>
    <row r="16" spans="2:9" ht="33" x14ac:dyDescent="0.25">
      <c r="B16" s="47" t="s">
        <v>22</v>
      </c>
      <c r="C16" s="40" t="s">
        <v>111</v>
      </c>
      <c r="D16" s="40" t="s">
        <v>71</v>
      </c>
      <c r="I16" s="28"/>
    </row>
    <row r="17" spans="2:9" ht="56.25" customHeight="1" x14ac:dyDescent="0.25">
      <c r="B17" s="61" t="s">
        <v>55</v>
      </c>
      <c r="C17" s="40" t="s">
        <v>115</v>
      </c>
      <c r="D17" s="70" t="s">
        <v>105</v>
      </c>
      <c r="I17" s="28"/>
    </row>
    <row r="18" spans="2:9" ht="54" x14ac:dyDescent="0.25">
      <c r="B18" s="73" t="s">
        <v>46</v>
      </c>
      <c r="C18" s="40" t="s">
        <v>116</v>
      </c>
      <c r="D18" s="70" t="s">
        <v>106</v>
      </c>
      <c r="I18" s="28"/>
    </row>
    <row r="19" spans="2:9" ht="33" x14ac:dyDescent="0.25">
      <c r="B19" s="47" t="s">
        <v>95</v>
      </c>
      <c r="C19" s="40" t="s">
        <v>47</v>
      </c>
      <c r="D19" s="40" t="s">
        <v>72</v>
      </c>
      <c r="I19" s="28"/>
    </row>
    <row r="20" spans="2:9" ht="22.5" customHeight="1" x14ac:dyDescent="0.35">
      <c r="B20" s="58" t="s">
        <v>118</v>
      </c>
      <c r="C20" s="59"/>
      <c r="D20" s="25"/>
    </row>
    <row r="21" spans="2:9" ht="45" x14ac:dyDescent="0.25">
      <c r="B21" s="29"/>
      <c r="C21" s="27" t="s">
        <v>49</v>
      </c>
      <c r="D21" s="52" t="s">
        <v>92</v>
      </c>
    </row>
    <row r="22" spans="2:9" ht="162.75" thickBot="1" x14ac:dyDescent="0.3">
      <c r="B22" s="29"/>
      <c r="C22" s="27"/>
      <c r="D22" s="71" t="s">
        <v>107</v>
      </c>
    </row>
    <row r="23" spans="2:9" ht="60.75" customHeight="1" thickBot="1" x14ac:dyDescent="0.3">
      <c r="B23" s="47" t="s">
        <v>23</v>
      </c>
      <c r="C23" s="40" t="s">
        <v>56</v>
      </c>
      <c r="D23" s="72" t="s">
        <v>108</v>
      </c>
    </row>
    <row r="24" spans="2:9" ht="75.75" thickBot="1" x14ac:dyDescent="0.3">
      <c r="B24" s="47" t="s">
        <v>34</v>
      </c>
      <c r="C24" s="57" t="s">
        <v>67</v>
      </c>
      <c r="D24" s="72" t="s">
        <v>109</v>
      </c>
    </row>
    <row r="25" spans="2:9" ht="48" x14ac:dyDescent="0.25">
      <c r="B25" s="47" t="s">
        <v>60</v>
      </c>
      <c r="C25" s="40" t="s">
        <v>59</v>
      </c>
      <c r="D25" s="40" t="s">
        <v>90</v>
      </c>
    </row>
    <row r="26" spans="2:9" ht="45" customHeight="1" x14ac:dyDescent="0.25">
      <c r="B26" s="47" t="s">
        <v>42</v>
      </c>
      <c r="C26" s="40" t="s">
        <v>58</v>
      </c>
      <c r="D26" s="40" t="s">
        <v>99</v>
      </c>
    </row>
    <row r="27" spans="2:9" ht="60" x14ac:dyDescent="0.25">
      <c r="B27" s="47" t="s">
        <v>96</v>
      </c>
      <c r="C27" s="40" t="s">
        <v>73</v>
      </c>
      <c r="D27" s="40" t="s">
        <v>74</v>
      </c>
    </row>
    <row r="28" spans="2:9" x14ac:dyDescent="0.25">
      <c r="B28" s="47"/>
      <c r="C28" s="23"/>
      <c r="D28" s="40"/>
    </row>
    <row r="29" spans="2:9" ht="22.5" customHeight="1" x14ac:dyDescent="0.25">
      <c r="B29" s="91" t="s">
        <v>29</v>
      </c>
      <c r="C29" s="92"/>
      <c r="D29" s="25"/>
    </row>
    <row r="30" spans="2:9" ht="30" x14ac:dyDescent="0.25">
      <c r="B30" s="48" t="s">
        <v>93</v>
      </c>
      <c r="C30" s="31" t="s">
        <v>17</v>
      </c>
      <c r="D30" s="41" t="s">
        <v>86</v>
      </c>
    </row>
    <row r="31" spans="2:9" ht="9" customHeight="1" x14ac:dyDescent="0.25">
      <c r="B31" s="32"/>
      <c r="C31" s="33"/>
      <c r="D31" s="33"/>
    </row>
    <row r="32" spans="2:9" ht="45" x14ac:dyDescent="0.25">
      <c r="B32" s="30"/>
      <c r="C32" s="31"/>
      <c r="D32" s="31" t="s">
        <v>27</v>
      </c>
    </row>
    <row r="33" spans="2:4" ht="9" customHeight="1" x14ac:dyDescent="0.25">
      <c r="B33" s="32"/>
      <c r="C33" s="33"/>
      <c r="D33" s="33"/>
    </row>
    <row r="34" spans="2:4" ht="60" x14ac:dyDescent="0.25">
      <c r="B34" s="30"/>
      <c r="C34" s="31"/>
      <c r="D34" s="31" t="s">
        <v>36</v>
      </c>
    </row>
    <row r="35" spans="2:4" ht="9" customHeight="1" x14ac:dyDescent="0.25">
      <c r="B35" s="32"/>
      <c r="C35" s="33"/>
      <c r="D35" s="33"/>
    </row>
    <row r="36" spans="2:4" ht="64.5" customHeight="1" x14ac:dyDescent="0.25">
      <c r="B36" s="30"/>
      <c r="C36" s="31"/>
      <c r="D36" s="41" t="s">
        <v>112</v>
      </c>
    </row>
    <row r="37" spans="2:4" ht="9" customHeight="1" x14ac:dyDescent="0.25">
      <c r="B37" s="32"/>
      <c r="C37" s="33"/>
      <c r="D37" s="33"/>
    </row>
    <row r="38" spans="2:4" ht="60" x14ac:dyDescent="0.25">
      <c r="B38" s="30"/>
      <c r="C38" s="31"/>
      <c r="D38" s="41" t="s">
        <v>83</v>
      </c>
    </row>
    <row r="39" spans="2:4" ht="9" customHeight="1" x14ac:dyDescent="0.25">
      <c r="B39" s="32"/>
      <c r="C39" s="33"/>
      <c r="D39" s="33"/>
    </row>
    <row r="40" spans="2:4" ht="30" x14ac:dyDescent="0.25">
      <c r="B40" s="30"/>
      <c r="C40" s="31"/>
      <c r="D40" s="43" t="s">
        <v>75</v>
      </c>
    </row>
    <row r="41" spans="2:4" ht="9" customHeight="1" x14ac:dyDescent="0.25">
      <c r="B41" s="32"/>
      <c r="C41" s="33"/>
      <c r="D41" s="33"/>
    </row>
    <row r="42" spans="2:4" ht="53.25" customHeight="1" x14ac:dyDescent="0.25">
      <c r="B42" s="30"/>
      <c r="C42" s="31"/>
      <c r="D42" s="75" t="s">
        <v>98</v>
      </c>
    </row>
    <row r="43" spans="2:4" ht="9" customHeight="1" x14ac:dyDescent="0.25">
      <c r="B43" s="32"/>
      <c r="C43" s="33"/>
      <c r="D43" s="33"/>
    </row>
    <row r="44" spans="2:4" ht="60" x14ac:dyDescent="0.25">
      <c r="B44" s="48" t="s">
        <v>33</v>
      </c>
      <c r="C44" s="31" t="s">
        <v>32</v>
      </c>
      <c r="D44" s="41" t="s">
        <v>1536</v>
      </c>
    </row>
    <row r="45" spans="2:4" ht="9" customHeight="1" x14ac:dyDescent="0.25">
      <c r="B45" s="32"/>
      <c r="C45" s="33"/>
      <c r="D45" s="33"/>
    </row>
    <row r="46" spans="2:4" ht="45" x14ac:dyDescent="0.25">
      <c r="B46" s="30"/>
      <c r="C46" s="31"/>
      <c r="D46" s="31" t="s">
        <v>37</v>
      </c>
    </row>
    <row r="47" spans="2:4" ht="9" customHeight="1" x14ac:dyDescent="0.25">
      <c r="B47" s="32"/>
      <c r="C47" s="33"/>
      <c r="D47" s="33"/>
    </row>
    <row r="48" spans="2:4" ht="60" x14ac:dyDescent="0.25">
      <c r="B48" s="30"/>
      <c r="C48" s="31"/>
      <c r="D48" s="31" t="s">
        <v>40</v>
      </c>
    </row>
    <row r="49" spans="2:4" ht="9" customHeight="1" x14ac:dyDescent="0.25">
      <c r="B49" s="32"/>
      <c r="C49" s="33"/>
      <c r="D49" s="33"/>
    </row>
    <row r="50" spans="2:4" ht="66.75" customHeight="1" x14ac:dyDescent="0.25">
      <c r="B50" s="30"/>
      <c r="C50" s="31"/>
      <c r="D50" s="74" t="s">
        <v>113</v>
      </c>
    </row>
    <row r="51" spans="2:4" ht="9" customHeight="1" x14ac:dyDescent="0.25">
      <c r="B51" s="32"/>
      <c r="C51" s="33"/>
      <c r="D51" s="33"/>
    </row>
    <row r="52" spans="2:4" ht="60" x14ac:dyDescent="0.25">
      <c r="B52" s="30"/>
      <c r="C52" s="31"/>
      <c r="D52" s="41" t="s">
        <v>77</v>
      </c>
    </row>
    <row r="53" spans="2:4" ht="9" customHeight="1" x14ac:dyDescent="0.25">
      <c r="B53" s="32"/>
      <c r="C53" s="33"/>
      <c r="D53" s="33"/>
    </row>
    <row r="54" spans="2:4" ht="17.25" customHeight="1" x14ac:dyDescent="0.25">
      <c r="B54" s="30"/>
      <c r="C54" s="31"/>
      <c r="D54" s="43" t="s">
        <v>82</v>
      </c>
    </row>
    <row r="55" spans="2:4" ht="9" customHeight="1" x14ac:dyDescent="0.25">
      <c r="B55" s="32"/>
      <c r="C55" s="33"/>
      <c r="D55" s="33"/>
    </row>
    <row r="56" spans="2:4" ht="30" x14ac:dyDescent="0.25">
      <c r="B56" s="21"/>
      <c r="C56" s="23"/>
      <c r="D56" s="60" t="s">
        <v>76</v>
      </c>
    </row>
    <row r="57" spans="2:4" x14ac:dyDescent="0.25">
      <c r="B57" s="47" t="s">
        <v>63</v>
      </c>
      <c r="C57" s="49" t="s">
        <v>41</v>
      </c>
      <c r="D57" s="60" t="s">
        <v>78</v>
      </c>
    </row>
    <row r="58" spans="2:4" ht="22.5" customHeight="1" x14ac:dyDescent="0.25">
      <c r="B58" s="91" t="s">
        <v>84</v>
      </c>
      <c r="C58" s="92"/>
      <c r="D58" s="25"/>
    </row>
    <row r="59" spans="2:4" x14ac:dyDescent="0.25">
      <c r="B59" s="47" t="s">
        <v>94</v>
      </c>
      <c r="C59" s="23" t="s">
        <v>4</v>
      </c>
      <c r="D59" s="40" t="s">
        <v>79</v>
      </c>
    </row>
    <row r="60" spans="2:4" x14ac:dyDescent="0.25">
      <c r="B60" s="47" t="s">
        <v>50</v>
      </c>
      <c r="C60" s="23" t="s">
        <v>5</v>
      </c>
      <c r="D60" s="40" t="s">
        <v>80</v>
      </c>
    </row>
    <row r="61" spans="2:4" x14ac:dyDescent="0.25">
      <c r="B61" s="47" t="s">
        <v>51</v>
      </c>
      <c r="C61" s="23" t="s">
        <v>6</v>
      </c>
      <c r="D61" s="40" t="s">
        <v>81</v>
      </c>
    </row>
    <row r="62" spans="2:4" ht="22.5" customHeight="1" x14ac:dyDescent="0.25">
      <c r="B62" s="91" t="s">
        <v>48</v>
      </c>
      <c r="C62" s="92"/>
      <c r="D62" s="25"/>
    </row>
    <row r="63" spans="2:4" x14ac:dyDescent="0.25">
      <c r="B63" s="47" t="s">
        <v>61</v>
      </c>
      <c r="C63" s="23" t="s">
        <v>18</v>
      </c>
      <c r="D63" s="40" t="s">
        <v>87</v>
      </c>
    </row>
    <row r="64" spans="2:4" ht="60" x14ac:dyDescent="0.25">
      <c r="B64" s="47" t="s">
        <v>62</v>
      </c>
      <c r="C64" s="40" t="s">
        <v>65</v>
      </c>
      <c r="D64" s="40" t="s">
        <v>1513</v>
      </c>
    </row>
    <row r="65" spans="2:4" ht="30" x14ac:dyDescent="0.25">
      <c r="B65" s="47" t="s">
        <v>97</v>
      </c>
      <c r="C65" s="40" t="s">
        <v>52</v>
      </c>
      <c r="D65" s="40" t="s">
        <v>85</v>
      </c>
    </row>
    <row r="66" spans="2:4" x14ac:dyDescent="0.25">
      <c r="B66" s="34"/>
      <c r="C66" s="34"/>
      <c r="D66" s="35"/>
    </row>
    <row r="67" spans="2:4" x14ac:dyDescent="0.25">
      <c r="B67" s="34"/>
      <c r="C67" s="34"/>
      <c r="D67" s="35"/>
    </row>
    <row r="68" spans="2:4" x14ac:dyDescent="0.25">
      <c r="B68" s="34"/>
      <c r="C68" s="34"/>
      <c r="D68" s="35"/>
    </row>
    <row r="69" spans="2:4" x14ac:dyDescent="0.25">
      <c r="B69" s="34"/>
      <c r="C69" s="34"/>
      <c r="D69" s="35"/>
    </row>
    <row r="70" spans="2:4" x14ac:dyDescent="0.25">
      <c r="B70" s="34"/>
      <c r="C70" s="34"/>
      <c r="D70" s="35"/>
    </row>
    <row r="71" spans="2:4" x14ac:dyDescent="0.25">
      <c r="B71" s="34"/>
      <c r="C71" s="34"/>
      <c r="D71" s="35"/>
    </row>
    <row r="72" spans="2:4" x14ac:dyDescent="0.25">
      <c r="B72" s="34"/>
      <c r="C72" s="34"/>
      <c r="D72" s="35"/>
    </row>
    <row r="73" spans="2:4" x14ac:dyDescent="0.25">
      <c r="B73" s="34"/>
      <c r="C73" s="34"/>
      <c r="D73" s="35"/>
    </row>
    <row r="74" spans="2:4" x14ac:dyDescent="0.25">
      <c r="B74" s="34"/>
      <c r="C74" s="34"/>
      <c r="D74" s="35"/>
    </row>
    <row r="75" spans="2:4" x14ac:dyDescent="0.25">
      <c r="B75" s="34"/>
      <c r="C75" s="34"/>
      <c r="D75" s="35"/>
    </row>
    <row r="76" spans="2:4" x14ac:dyDescent="0.25">
      <c r="B76" s="34"/>
      <c r="C76" s="34"/>
      <c r="D76" s="35"/>
    </row>
    <row r="77" spans="2:4" x14ac:dyDescent="0.25">
      <c r="B77" s="34"/>
      <c r="C77" s="34"/>
      <c r="D77" s="35"/>
    </row>
    <row r="78" spans="2:4" x14ac:dyDescent="0.25">
      <c r="B78" s="34"/>
      <c r="C78" s="34"/>
      <c r="D78" s="34"/>
    </row>
    <row r="79" spans="2:4" x14ac:dyDescent="0.25">
      <c r="B79" s="34"/>
      <c r="C79" s="34"/>
      <c r="D79" s="34"/>
    </row>
    <row r="80" spans="2:4" x14ac:dyDescent="0.25">
      <c r="B80" s="34"/>
      <c r="C80" s="34"/>
      <c r="D80" s="34"/>
    </row>
    <row r="81" spans="2:4" x14ac:dyDescent="0.25">
      <c r="B81" s="34"/>
      <c r="C81" s="34"/>
      <c r="D81" s="34"/>
    </row>
    <row r="82" spans="2:4" x14ac:dyDescent="0.25">
      <c r="B82" s="34"/>
      <c r="C82" s="34"/>
      <c r="D82" s="34"/>
    </row>
    <row r="83" spans="2:4" x14ac:dyDescent="0.25">
      <c r="B83" s="34"/>
      <c r="C83" s="34"/>
      <c r="D83" s="34"/>
    </row>
    <row r="84" spans="2:4" x14ac:dyDescent="0.25">
      <c r="B84" s="34"/>
      <c r="C84" s="34"/>
      <c r="D84" s="34"/>
    </row>
    <row r="85" spans="2:4" x14ac:dyDescent="0.25">
      <c r="B85" s="34"/>
      <c r="C85" s="34"/>
      <c r="D85" s="34"/>
    </row>
    <row r="86" spans="2:4" x14ac:dyDescent="0.25">
      <c r="B86" s="34"/>
      <c r="C86" s="34"/>
      <c r="D86" s="34"/>
    </row>
    <row r="87" spans="2:4" x14ac:dyDescent="0.25">
      <c r="B87" s="34"/>
      <c r="C87" s="34"/>
      <c r="D87" s="34"/>
    </row>
    <row r="88" spans="2:4" x14ac:dyDescent="0.25">
      <c r="B88" s="34"/>
      <c r="C88" s="34"/>
      <c r="D88" s="34"/>
    </row>
    <row r="89" spans="2:4" x14ac:dyDescent="0.25">
      <c r="B89" s="34"/>
      <c r="C89" s="34"/>
      <c r="D89" s="34"/>
    </row>
    <row r="90" spans="2:4" x14ac:dyDescent="0.25">
      <c r="B90" s="34"/>
      <c r="C90" s="34"/>
      <c r="D90" s="34"/>
    </row>
    <row r="91" spans="2:4" x14ac:dyDescent="0.25">
      <c r="B91" s="34"/>
      <c r="C91" s="34"/>
      <c r="D91" s="34"/>
    </row>
    <row r="92" spans="2:4" x14ac:dyDescent="0.25">
      <c r="B92" s="34"/>
      <c r="C92" s="34"/>
      <c r="D92" s="34"/>
    </row>
    <row r="93" spans="2:4" x14ac:dyDescent="0.25">
      <c r="B93" s="34"/>
      <c r="C93" s="34"/>
      <c r="D93" s="34"/>
    </row>
    <row r="94" spans="2:4" x14ac:dyDescent="0.25">
      <c r="B94" s="34"/>
      <c r="C94" s="34"/>
      <c r="D94" s="34"/>
    </row>
    <row r="95" spans="2:4" x14ac:dyDescent="0.25">
      <c r="B95" s="34"/>
      <c r="C95" s="34"/>
      <c r="D95" s="34"/>
    </row>
    <row r="96" spans="2:4" x14ac:dyDescent="0.25">
      <c r="B96" s="34"/>
      <c r="C96" s="34"/>
      <c r="D96" s="34"/>
    </row>
    <row r="97" spans="2:4" x14ac:dyDescent="0.25">
      <c r="B97" s="34"/>
      <c r="C97" s="34"/>
      <c r="D97" s="34"/>
    </row>
    <row r="98" spans="2:4" x14ac:dyDescent="0.25">
      <c r="B98" s="34"/>
      <c r="C98" s="34"/>
      <c r="D98" s="34"/>
    </row>
    <row r="99" spans="2:4" x14ac:dyDescent="0.25">
      <c r="B99" s="34"/>
      <c r="C99" s="34"/>
      <c r="D99" s="34"/>
    </row>
    <row r="100" spans="2:4" x14ac:dyDescent="0.25">
      <c r="B100" s="34"/>
      <c r="C100" s="34"/>
      <c r="D100" s="34"/>
    </row>
    <row r="101" spans="2:4" x14ac:dyDescent="0.25">
      <c r="B101" s="34"/>
      <c r="C101" s="34"/>
      <c r="D101" s="34"/>
    </row>
    <row r="102" spans="2:4" x14ac:dyDescent="0.25">
      <c r="B102" s="34"/>
      <c r="C102" s="34"/>
      <c r="D102" s="34"/>
    </row>
  </sheetData>
  <mergeCells count="6">
    <mergeCell ref="B62:C62"/>
    <mergeCell ref="B58:C58"/>
    <mergeCell ref="B2:D2"/>
    <mergeCell ref="B10:C10"/>
    <mergeCell ref="B13:C13"/>
    <mergeCell ref="B29:C29"/>
  </mergeCells>
  <pageMargins left="0.25" right="0.25" top="0.5" bottom="0.5" header="0.3" footer="0.3"/>
  <pageSetup scale="8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AD818"/>
  <sheetViews>
    <sheetView zoomScale="70" zoomScaleNormal="70" workbookViewId="0">
      <pane ySplit="9" topLeftCell="A10" activePane="bottomLeft" state="frozen"/>
      <selection pane="bottomLeft"/>
    </sheetView>
  </sheetViews>
  <sheetFormatPr defaultColWidth="8.85546875" defaultRowHeight="15" x14ac:dyDescent="0.25"/>
  <cols>
    <col min="1" max="1" width="1.140625" customWidth="1"/>
    <col min="2" max="2" width="15.7109375" customWidth="1"/>
    <col min="3" max="3" width="54" customWidth="1"/>
    <col min="4" max="4" width="10" customWidth="1"/>
    <col min="5" max="5" width="0.42578125" customWidth="1"/>
    <col min="6" max="6" width="19.85546875" customWidth="1"/>
    <col min="7" max="7" width="6" customWidth="1"/>
    <col min="8" max="8" width="0.42578125" customWidth="1"/>
    <col min="9" max="9" width="15.42578125" style="7" customWidth="1"/>
    <col min="10" max="12" width="15" style="7" customWidth="1"/>
    <col min="13" max="13" width="14" style="7" customWidth="1"/>
    <col min="14" max="14" width="0.42578125" style="7" customWidth="1"/>
    <col min="15" max="17" width="15" style="7" customWidth="1"/>
    <col min="18" max="18" width="28.42578125" style="7" bestFit="1" customWidth="1"/>
    <col min="19" max="19" width="15" style="7" customWidth="1"/>
    <col min="20" max="20" width="1" style="44" customWidth="1"/>
    <col min="21" max="21" width="20.28515625" style="9" customWidth="1"/>
    <col min="22" max="22" width="19.28515625" customWidth="1"/>
    <col min="23" max="23" width="32" customWidth="1"/>
    <col min="24" max="24" width="0.85546875" customWidth="1"/>
    <col min="25" max="25" width="21.5703125" customWidth="1"/>
    <col min="26" max="26" width="10.85546875" style="9" customWidth="1"/>
    <col min="27" max="27" width="13" style="9" customWidth="1"/>
    <col min="28" max="28" width="54.7109375" customWidth="1"/>
    <col min="29" max="29" width="14.42578125" customWidth="1"/>
    <col min="30" max="30" width="46" customWidth="1"/>
  </cols>
  <sheetData>
    <row r="1" spans="2:30" ht="12" customHeight="1" x14ac:dyDescent="0.25">
      <c r="I1" s="79"/>
      <c r="J1" s="79"/>
      <c r="K1" s="79"/>
      <c r="L1" s="79"/>
      <c r="M1" s="79"/>
      <c r="N1" s="79"/>
      <c r="O1" s="79"/>
      <c r="P1" s="79"/>
      <c r="Q1" s="79"/>
      <c r="R1" s="79"/>
      <c r="S1" s="79"/>
    </row>
    <row r="2" spans="2:30" s="77" customFormat="1" ht="18.75" x14ac:dyDescent="0.3">
      <c r="B2" s="80" t="s">
        <v>1533</v>
      </c>
      <c r="D2" s="51"/>
      <c r="F2" s="94"/>
      <c r="G2" s="94"/>
      <c r="H2" s="94"/>
      <c r="I2" s="94"/>
      <c r="J2" s="94"/>
      <c r="K2" s="94"/>
      <c r="L2" s="94"/>
      <c r="M2" s="94"/>
      <c r="N2" s="94"/>
      <c r="O2" s="94"/>
      <c r="P2" s="94"/>
      <c r="Q2" s="94"/>
      <c r="R2" s="94"/>
      <c r="S2" s="94"/>
      <c r="T2" s="94"/>
      <c r="U2" s="94"/>
      <c r="V2" s="81"/>
      <c r="Z2" s="78"/>
      <c r="AA2" s="78"/>
    </row>
    <row r="3" spans="2:30" s="77" customFormat="1" x14ac:dyDescent="0.25">
      <c r="B3" s="95" t="s">
        <v>1534</v>
      </c>
      <c r="C3" s="95"/>
      <c r="D3" s="95"/>
      <c r="E3" s="95"/>
      <c r="F3" s="95"/>
      <c r="G3" s="88"/>
      <c r="H3" s="88"/>
      <c r="I3" s="88"/>
      <c r="J3" s="88"/>
      <c r="K3" s="88"/>
      <c r="L3" s="82"/>
      <c r="M3" s="88"/>
      <c r="N3" s="88"/>
      <c r="O3" s="88"/>
      <c r="P3" s="88"/>
      <c r="Q3" s="88"/>
      <c r="R3" s="88"/>
      <c r="S3" s="88"/>
      <c r="T3" s="88"/>
      <c r="U3" s="88"/>
      <c r="V3" s="81"/>
      <c r="Z3" s="78"/>
      <c r="AA3" s="78"/>
    </row>
    <row r="4" spans="2:30" ht="17.25" customHeight="1" x14ac:dyDescent="0.25">
      <c r="B4" s="96" t="s">
        <v>7</v>
      </c>
      <c r="C4" s="96"/>
      <c r="D4" s="96"/>
      <c r="F4" s="83"/>
      <c r="G4" s="84"/>
      <c r="H4" s="84"/>
      <c r="I4" s="84"/>
      <c r="J4" s="84"/>
      <c r="K4" s="84"/>
      <c r="L4" s="84"/>
      <c r="M4" s="84"/>
      <c r="N4" s="77"/>
      <c r="O4" s="77"/>
      <c r="P4" s="77"/>
      <c r="Q4" s="85" t="str">
        <f xml:space="preserve"> "The total " &amp; D10 &amp; " emissions subject to a compliance obligation in the Cap-and-Trade Program equals "</f>
        <v xml:space="preserve">The total 2016 emissions subject to a compliance obligation in the Cap-and-Trade Program equals </v>
      </c>
      <c r="R4" s="87">
        <v>324065927</v>
      </c>
      <c r="S4" s="86" t="str">
        <f xml:space="preserve"> " metric tons CO2e, which includes emissions associated with fuel suppliers."</f>
        <v xml:space="preserve"> metric tons CO2e, which includes emissions associated with fuel suppliers.</v>
      </c>
      <c r="T4"/>
    </row>
    <row r="5" spans="2:30" ht="4.5" customHeight="1" x14ac:dyDescent="0.25">
      <c r="C5" s="3"/>
    </row>
    <row r="6" spans="2:30" ht="36.75" customHeight="1" x14ac:dyDescent="0.3">
      <c r="B6" s="99" t="s">
        <v>1507</v>
      </c>
      <c r="C6" s="99"/>
      <c r="D6" s="99"/>
      <c r="H6" s="6"/>
      <c r="J6" s="65"/>
      <c r="K6" s="66"/>
      <c r="L6" s="1"/>
      <c r="M6"/>
      <c r="X6" s="1"/>
    </row>
    <row r="7" spans="2:30" ht="8.25" customHeight="1" x14ac:dyDescent="0.25">
      <c r="C7" s="4"/>
      <c r="D7" s="4"/>
      <c r="K7" s="63"/>
      <c r="L7" s="63"/>
      <c r="X7" s="1"/>
    </row>
    <row r="8" spans="2:30" ht="39" customHeight="1" x14ac:dyDescent="0.25">
      <c r="B8" s="103" t="s">
        <v>24</v>
      </c>
      <c r="C8" s="103"/>
      <c r="D8" s="103"/>
      <c r="E8" s="18"/>
      <c r="F8" s="101" t="s">
        <v>28</v>
      </c>
      <c r="G8" s="102"/>
      <c r="H8" s="5"/>
      <c r="I8" s="105" t="s">
        <v>16</v>
      </c>
      <c r="J8" s="106"/>
      <c r="K8" s="106"/>
      <c r="L8" s="106"/>
      <c r="M8" s="107"/>
      <c r="N8" s="8"/>
      <c r="O8" s="105" t="s">
        <v>57</v>
      </c>
      <c r="P8" s="106"/>
      <c r="Q8" s="106"/>
      <c r="R8" s="106"/>
      <c r="S8" s="106"/>
      <c r="U8" s="104" t="s">
        <v>29</v>
      </c>
      <c r="V8" s="104"/>
      <c r="W8" s="104"/>
      <c r="X8" s="2"/>
      <c r="Y8" s="100" t="s">
        <v>3</v>
      </c>
      <c r="Z8" s="100"/>
      <c r="AA8" s="100"/>
      <c r="AB8" s="97" t="s">
        <v>48</v>
      </c>
      <c r="AC8" s="98"/>
      <c r="AD8" s="98"/>
    </row>
    <row r="9" spans="2:30" ht="99.75" customHeight="1" x14ac:dyDescent="0.25">
      <c r="B9" s="10" t="s">
        <v>2</v>
      </c>
      <c r="C9" s="10" t="s">
        <v>8</v>
      </c>
      <c r="D9" s="46" t="s">
        <v>44</v>
      </c>
      <c r="E9" s="11"/>
      <c r="F9" s="12" t="s">
        <v>26</v>
      </c>
      <c r="G9" s="12" t="s">
        <v>15</v>
      </c>
      <c r="H9" s="11"/>
      <c r="I9" s="53" t="s">
        <v>102</v>
      </c>
      <c r="J9" s="53" t="s">
        <v>110</v>
      </c>
      <c r="K9" s="62" t="s">
        <v>103</v>
      </c>
      <c r="L9" s="62" t="s">
        <v>104</v>
      </c>
      <c r="M9" s="53" t="s">
        <v>45</v>
      </c>
      <c r="N9" s="54"/>
      <c r="O9" s="53" t="s">
        <v>54</v>
      </c>
      <c r="P9" s="62" t="s">
        <v>66</v>
      </c>
      <c r="Q9" s="53" t="s">
        <v>59</v>
      </c>
      <c r="R9" s="56" t="s">
        <v>58</v>
      </c>
      <c r="S9" s="56" t="s">
        <v>64</v>
      </c>
      <c r="T9" s="13"/>
      <c r="U9" s="14" t="s">
        <v>30</v>
      </c>
      <c r="V9" s="15" t="s">
        <v>31</v>
      </c>
      <c r="W9" s="14" t="s">
        <v>41</v>
      </c>
      <c r="X9" s="16"/>
      <c r="Y9" s="17" t="s">
        <v>4</v>
      </c>
      <c r="Z9" s="17" t="s">
        <v>5</v>
      </c>
      <c r="AA9" s="17" t="s">
        <v>6</v>
      </c>
      <c r="AB9" s="55" t="s">
        <v>53</v>
      </c>
      <c r="AC9" s="55" t="s">
        <v>65</v>
      </c>
      <c r="AD9" s="55" t="s">
        <v>52</v>
      </c>
    </row>
    <row r="10" spans="2:30" x14ac:dyDescent="0.25">
      <c r="B10">
        <v>3006</v>
      </c>
      <c r="C10" t="s">
        <v>154</v>
      </c>
      <c r="D10">
        <v>2016</v>
      </c>
      <c r="F10" s="89">
        <v>102107.45496</v>
      </c>
      <c r="G10" s="89" t="s">
        <v>128</v>
      </c>
      <c r="H10" s="89"/>
      <c r="I10" s="89">
        <v>0</v>
      </c>
      <c r="J10" s="89">
        <v>0</v>
      </c>
      <c r="K10" s="89">
        <v>0</v>
      </c>
      <c r="L10" s="89">
        <v>0</v>
      </c>
      <c r="M10" s="89">
        <v>102107.45496</v>
      </c>
      <c r="N10" s="89"/>
      <c r="O10" s="89">
        <v>0</v>
      </c>
      <c r="P10" s="89">
        <v>0</v>
      </c>
      <c r="Q10" s="89">
        <v>2002.9629599999801</v>
      </c>
      <c r="R10" s="89">
        <v>2002.9629599999801</v>
      </c>
      <c r="S10" s="89">
        <v>100104.492</v>
      </c>
      <c r="T10"/>
      <c r="U10" t="s">
        <v>155</v>
      </c>
      <c r="V10" t="s">
        <v>129</v>
      </c>
      <c r="W10" t="s">
        <v>156</v>
      </c>
      <c r="Y10" t="s">
        <v>157</v>
      </c>
      <c r="Z10" t="s">
        <v>131</v>
      </c>
      <c r="AA10" s="90">
        <v>90245</v>
      </c>
      <c r="AB10" t="s">
        <v>158</v>
      </c>
      <c r="AC10" t="s">
        <v>136</v>
      </c>
      <c r="AD10" t="s">
        <v>137</v>
      </c>
    </row>
    <row r="11" spans="2:30" x14ac:dyDescent="0.25">
      <c r="B11">
        <v>104356</v>
      </c>
      <c r="C11" t="s">
        <v>159</v>
      </c>
      <c r="D11">
        <v>2016</v>
      </c>
      <c r="F11" s="89">
        <v>14890.994832</v>
      </c>
      <c r="G11" s="89" t="s">
        <v>128</v>
      </c>
      <c r="H11" s="89"/>
      <c r="I11" s="89">
        <v>14890.994832</v>
      </c>
      <c r="J11" s="89">
        <v>0</v>
      </c>
      <c r="K11" s="89">
        <v>0</v>
      </c>
      <c r="L11" s="89">
        <v>0</v>
      </c>
      <c r="M11" s="89">
        <v>0</v>
      </c>
      <c r="N11" s="89"/>
      <c r="O11" s="89">
        <v>0</v>
      </c>
      <c r="P11" s="89">
        <v>0</v>
      </c>
      <c r="Q11" s="89">
        <v>0</v>
      </c>
      <c r="R11" s="89">
        <v>0</v>
      </c>
      <c r="S11" s="89">
        <v>14890.994832</v>
      </c>
      <c r="T11"/>
      <c r="U11" t="s">
        <v>129</v>
      </c>
      <c r="V11" t="s">
        <v>129</v>
      </c>
      <c r="Y11" t="s">
        <v>160</v>
      </c>
      <c r="Z11" t="s">
        <v>131</v>
      </c>
      <c r="AA11" s="90">
        <v>92881</v>
      </c>
      <c r="AB11" t="s">
        <v>161</v>
      </c>
      <c r="AC11" t="s">
        <v>0</v>
      </c>
      <c r="AD11" t="s">
        <v>143</v>
      </c>
    </row>
    <row r="12" spans="2:30" x14ac:dyDescent="0.25">
      <c r="B12">
        <v>104213</v>
      </c>
      <c r="C12" t="s">
        <v>162</v>
      </c>
      <c r="D12">
        <v>2016</v>
      </c>
      <c r="F12" s="89">
        <v>16364.843091233301</v>
      </c>
      <c r="G12" s="89" t="s">
        <v>128</v>
      </c>
      <c r="H12" s="89"/>
      <c r="I12" s="89">
        <v>16364.843091233301</v>
      </c>
      <c r="J12" s="89">
        <v>0</v>
      </c>
      <c r="K12" s="89">
        <v>0</v>
      </c>
      <c r="L12" s="89">
        <v>0</v>
      </c>
      <c r="M12" s="89">
        <v>0</v>
      </c>
      <c r="N12" s="89"/>
      <c r="O12" s="89">
        <v>0</v>
      </c>
      <c r="P12" s="89">
        <v>0</v>
      </c>
      <c r="Q12" s="89">
        <v>0</v>
      </c>
      <c r="R12" s="89">
        <v>0</v>
      </c>
      <c r="S12" s="89">
        <v>16364.843091233301</v>
      </c>
      <c r="T12"/>
      <c r="U12" t="s">
        <v>129</v>
      </c>
      <c r="V12" t="s">
        <v>129</v>
      </c>
      <c r="Y12" t="s">
        <v>149</v>
      </c>
      <c r="Z12" t="s">
        <v>131</v>
      </c>
      <c r="AA12" s="90">
        <v>94621</v>
      </c>
      <c r="AB12" t="s">
        <v>163</v>
      </c>
      <c r="AC12" t="s">
        <v>0</v>
      </c>
      <c r="AD12" t="s">
        <v>143</v>
      </c>
    </row>
    <row r="13" spans="2:30" x14ac:dyDescent="0.25">
      <c r="B13">
        <v>104347</v>
      </c>
      <c r="C13" t="s">
        <v>164</v>
      </c>
      <c r="D13">
        <v>2016</v>
      </c>
      <c r="F13" s="89">
        <v>69792.5034304</v>
      </c>
      <c r="G13" s="89" t="s">
        <v>128</v>
      </c>
      <c r="H13" s="89"/>
      <c r="I13" s="89">
        <v>69792.5034304</v>
      </c>
      <c r="J13" s="89">
        <v>0</v>
      </c>
      <c r="K13" s="89">
        <v>0</v>
      </c>
      <c r="L13" s="89">
        <v>0</v>
      </c>
      <c r="M13" s="89">
        <v>0</v>
      </c>
      <c r="N13" s="89"/>
      <c r="O13" s="89">
        <v>69792.5034304</v>
      </c>
      <c r="P13" s="89">
        <v>0</v>
      </c>
      <c r="Q13" s="89">
        <v>0</v>
      </c>
      <c r="R13" s="89">
        <v>69792.5034304</v>
      </c>
      <c r="S13" s="89">
        <v>0</v>
      </c>
      <c r="T13"/>
      <c r="U13" t="s">
        <v>155</v>
      </c>
      <c r="V13" t="s">
        <v>129</v>
      </c>
      <c r="W13" t="s">
        <v>156</v>
      </c>
      <c r="Y13" t="s">
        <v>165</v>
      </c>
      <c r="Z13" t="s">
        <v>131</v>
      </c>
      <c r="AA13" s="90">
        <v>95307</v>
      </c>
      <c r="AB13" t="s">
        <v>166</v>
      </c>
      <c r="AC13" t="s">
        <v>0</v>
      </c>
      <c r="AD13" t="s">
        <v>143</v>
      </c>
    </row>
    <row r="14" spans="2:30" x14ac:dyDescent="0.25">
      <c r="B14">
        <v>104019</v>
      </c>
      <c r="C14" t="s">
        <v>167</v>
      </c>
      <c r="D14">
        <v>2016</v>
      </c>
      <c r="F14" s="89">
        <v>125749.032048372</v>
      </c>
      <c r="G14" s="89" t="s">
        <v>128</v>
      </c>
      <c r="H14" s="89"/>
      <c r="I14" s="89">
        <v>37972.448915690002</v>
      </c>
      <c r="J14" s="89">
        <v>0</v>
      </c>
      <c r="K14" s="89">
        <v>87776.583132682499</v>
      </c>
      <c r="L14" s="89">
        <v>0</v>
      </c>
      <c r="M14" s="89">
        <v>0</v>
      </c>
      <c r="N14" s="89"/>
      <c r="O14" s="89">
        <v>37886.22951569</v>
      </c>
      <c r="P14" s="89">
        <v>8446.6461212742997</v>
      </c>
      <c r="Q14" s="89">
        <v>0</v>
      </c>
      <c r="R14" s="89">
        <v>46332.875636964302</v>
      </c>
      <c r="S14" s="89">
        <v>79416.156411408199</v>
      </c>
      <c r="T14"/>
      <c r="U14" t="s">
        <v>155</v>
      </c>
      <c r="V14" t="s">
        <v>155</v>
      </c>
      <c r="W14" t="s">
        <v>168</v>
      </c>
      <c r="Y14" t="s">
        <v>169</v>
      </c>
      <c r="Z14" t="s">
        <v>131</v>
      </c>
      <c r="AA14" s="90">
        <v>93251</v>
      </c>
      <c r="AB14" t="s">
        <v>170</v>
      </c>
      <c r="AC14" t="s">
        <v>171</v>
      </c>
      <c r="AD14" t="s">
        <v>172</v>
      </c>
    </row>
    <row r="15" spans="2:30" x14ac:dyDescent="0.25">
      <c r="B15">
        <v>104018</v>
      </c>
      <c r="C15" t="s">
        <v>173</v>
      </c>
      <c r="D15">
        <v>2016</v>
      </c>
      <c r="F15" s="89">
        <v>214504.27583582001</v>
      </c>
      <c r="G15" s="89" t="s">
        <v>128</v>
      </c>
      <c r="H15" s="89"/>
      <c r="I15" s="89">
        <v>214504.27583582001</v>
      </c>
      <c r="J15" s="89">
        <v>0</v>
      </c>
      <c r="K15" s="89">
        <v>0</v>
      </c>
      <c r="L15" s="89">
        <v>0</v>
      </c>
      <c r="M15" s="89">
        <v>0</v>
      </c>
      <c r="N15" s="89"/>
      <c r="O15" s="89">
        <v>213884.12833581999</v>
      </c>
      <c r="P15" s="89">
        <v>0</v>
      </c>
      <c r="Q15" s="89">
        <v>0</v>
      </c>
      <c r="R15" s="89">
        <v>213884.12833581999</v>
      </c>
      <c r="S15" s="89">
        <v>620.14750000000004</v>
      </c>
      <c r="T15"/>
      <c r="U15" t="s">
        <v>155</v>
      </c>
      <c r="V15" t="s">
        <v>155</v>
      </c>
      <c r="W15" t="s">
        <v>168</v>
      </c>
      <c r="Y15" t="s">
        <v>174</v>
      </c>
      <c r="Z15" t="s">
        <v>131</v>
      </c>
      <c r="AA15" s="90">
        <v>93450</v>
      </c>
      <c r="AB15" t="s">
        <v>170</v>
      </c>
      <c r="AC15" t="s">
        <v>175</v>
      </c>
      <c r="AD15" t="s">
        <v>176</v>
      </c>
    </row>
    <row r="16" spans="2:30" x14ac:dyDescent="0.25">
      <c r="B16">
        <v>104016</v>
      </c>
      <c r="C16" t="s">
        <v>177</v>
      </c>
      <c r="D16">
        <v>2016</v>
      </c>
      <c r="F16" s="89">
        <v>3179476.6956758401</v>
      </c>
      <c r="G16" s="89" t="s">
        <v>128</v>
      </c>
      <c r="H16" s="89"/>
      <c r="I16" s="89">
        <v>3179476.6956758401</v>
      </c>
      <c r="J16" s="89">
        <v>0</v>
      </c>
      <c r="K16" s="89">
        <v>0</v>
      </c>
      <c r="L16" s="89">
        <v>0</v>
      </c>
      <c r="M16" s="89">
        <v>0</v>
      </c>
      <c r="N16" s="89"/>
      <c r="O16" s="89">
        <v>3146045.1896108701</v>
      </c>
      <c r="P16" s="89">
        <v>0</v>
      </c>
      <c r="Q16" s="89">
        <v>0</v>
      </c>
      <c r="R16" s="89">
        <v>3146045.1896108701</v>
      </c>
      <c r="S16" s="89">
        <v>33431.506064974899</v>
      </c>
      <c r="T16"/>
      <c r="U16" t="s">
        <v>155</v>
      </c>
      <c r="V16" t="s">
        <v>155</v>
      </c>
      <c r="W16" t="s">
        <v>168</v>
      </c>
      <c r="Y16" t="s">
        <v>178</v>
      </c>
      <c r="Z16" t="s">
        <v>131</v>
      </c>
      <c r="AA16" s="90">
        <v>93311</v>
      </c>
      <c r="AB16" t="s">
        <v>170</v>
      </c>
      <c r="AC16" t="s">
        <v>175</v>
      </c>
      <c r="AD16" t="s">
        <v>176</v>
      </c>
    </row>
    <row r="17" spans="2:30" x14ac:dyDescent="0.25">
      <c r="B17">
        <v>104017</v>
      </c>
      <c r="C17" t="s">
        <v>179</v>
      </c>
      <c r="D17">
        <v>2016</v>
      </c>
      <c r="F17" s="89">
        <v>8465.4930105900003</v>
      </c>
      <c r="G17" s="89" t="s">
        <v>128</v>
      </c>
      <c r="H17" s="89"/>
      <c r="I17" s="89">
        <v>8465.4930105900003</v>
      </c>
      <c r="J17" s="89">
        <v>0</v>
      </c>
      <c r="K17" s="89">
        <v>0</v>
      </c>
      <c r="L17" s="89">
        <v>0</v>
      </c>
      <c r="M17" s="89">
        <v>0</v>
      </c>
      <c r="N17" s="89"/>
      <c r="O17" s="89">
        <v>5744.5278105899997</v>
      </c>
      <c r="P17" s="89">
        <v>0</v>
      </c>
      <c r="Q17" s="89">
        <v>0</v>
      </c>
      <c r="R17" s="89">
        <v>5744.5278105899997</v>
      </c>
      <c r="S17" s="89">
        <v>2720.9652000000001</v>
      </c>
      <c r="T17"/>
      <c r="U17" t="s">
        <v>155</v>
      </c>
      <c r="V17" t="s">
        <v>155</v>
      </c>
      <c r="W17" t="s">
        <v>168</v>
      </c>
      <c r="Y17" t="s">
        <v>180</v>
      </c>
      <c r="Z17" t="s">
        <v>131</v>
      </c>
      <c r="AA17" s="90">
        <v>93301</v>
      </c>
      <c r="AB17" t="s">
        <v>170</v>
      </c>
      <c r="AC17" t="s">
        <v>175</v>
      </c>
      <c r="AD17" t="s">
        <v>176</v>
      </c>
    </row>
    <row r="18" spans="2:30" x14ac:dyDescent="0.25">
      <c r="B18">
        <v>104020</v>
      </c>
      <c r="C18" t="s">
        <v>181</v>
      </c>
      <c r="D18">
        <v>2016</v>
      </c>
      <c r="F18" s="89">
        <v>4698.7351390599997</v>
      </c>
      <c r="G18" s="89" t="s">
        <v>128</v>
      </c>
      <c r="H18" s="89"/>
      <c r="I18" s="89">
        <v>4698.7351390599997</v>
      </c>
      <c r="J18" s="89">
        <v>0</v>
      </c>
      <c r="K18" s="89">
        <v>0</v>
      </c>
      <c r="L18" s="89">
        <v>0</v>
      </c>
      <c r="M18" s="89">
        <v>0</v>
      </c>
      <c r="N18" s="89"/>
      <c r="O18" s="89">
        <v>0</v>
      </c>
      <c r="P18" s="89">
        <v>0</v>
      </c>
      <c r="Q18" s="89">
        <v>0</v>
      </c>
      <c r="R18" s="89">
        <v>0</v>
      </c>
      <c r="S18" s="89">
        <v>4698.7351390599997</v>
      </c>
      <c r="T18"/>
      <c r="U18" t="s">
        <v>129</v>
      </c>
      <c r="V18" t="s">
        <v>129</v>
      </c>
      <c r="Y18" t="s">
        <v>180</v>
      </c>
      <c r="Z18" t="s">
        <v>131</v>
      </c>
      <c r="AA18" s="90">
        <v>93001</v>
      </c>
      <c r="AB18" t="s">
        <v>170</v>
      </c>
      <c r="AC18" t="s">
        <v>0</v>
      </c>
      <c r="AD18" t="s">
        <v>176</v>
      </c>
    </row>
    <row r="19" spans="2:30" x14ac:dyDescent="0.25">
      <c r="B19">
        <v>104382</v>
      </c>
      <c r="C19" t="s">
        <v>182</v>
      </c>
      <c r="D19">
        <v>2016</v>
      </c>
      <c r="F19" s="89">
        <v>9998.1734046376005</v>
      </c>
      <c r="G19" s="89" t="s">
        <v>128</v>
      </c>
      <c r="H19" s="89"/>
      <c r="I19" s="89">
        <v>9998.1734046376005</v>
      </c>
      <c r="J19" s="89">
        <v>0</v>
      </c>
      <c r="K19" s="89">
        <v>0</v>
      </c>
      <c r="L19" s="89">
        <v>0</v>
      </c>
      <c r="M19" s="89">
        <v>0</v>
      </c>
      <c r="N19" s="89"/>
      <c r="O19" s="89">
        <v>0</v>
      </c>
      <c r="P19" s="89">
        <v>0</v>
      </c>
      <c r="Q19" s="89">
        <v>0</v>
      </c>
      <c r="R19" s="89">
        <v>0</v>
      </c>
      <c r="S19" s="89">
        <v>9998.1734046376005</v>
      </c>
      <c r="T19"/>
      <c r="U19" t="s">
        <v>129</v>
      </c>
      <c r="V19" t="s">
        <v>129</v>
      </c>
      <c r="Y19" t="s">
        <v>134</v>
      </c>
      <c r="Z19" t="s">
        <v>131</v>
      </c>
      <c r="AA19" s="90">
        <v>95742</v>
      </c>
      <c r="AB19" t="s">
        <v>183</v>
      </c>
      <c r="AC19" t="s">
        <v>0</v>
      </c>
      <c r="AD19" t="s">
        <v>143</v>
      </c>
    </row>
    <row r="20" spans="2:30" x14ac:dyDescent="0.25">
      <c r="B20">
        <v>101321</v>
      </c>
      <c r="C20" t="s">
        <v>184</v>
      </c>
      <c r="D20">
        <v>2016</v>
      </c>
      <c r="F20" s="89">
        <v>599927.57575279998</v>
      </c>
      <c r="G20" s="89" t="s">
        <v>128</v>
      </c>
      <c r="H20" s="89"/>
      <c r="I20" s="89">
        <v>599927.57575279998</v>
      </c>
      <c r="J20" s="89">
        <v>0</v>
      </c>
      <c r="K20" s="89">
        <v>0</v>
      </c>
      <c r="L20" s="89">
        <v>0</v>
      </c>
      <c r="M20" s="89">
        <v>0</v>
      </c>
      <c r="N20" s="89"/>
      <c r="O20" s="89">
        <v>599927.57575279998</v>
      </c>
      <c r="P20" s="89">
        <v>0</v>
      </c>
      <c r="Q20" s="89">
        <v>0</v>
      </c>
      <c r="R20" s="89">
        <v>599927.57575279998</v>
      </c>
      <c r="S20" s="89">
        <v>0</v>
      </c>
      <c r="T20"/>
      <c r="U20" t="s">
        <v>155</v>
      </c>
      <c r="V20" t="s">
        <v>129</v>
      </c>
      <c r="W20" t="s">
        <v>168</v>
      </c>
      <c r="Y20" t="s">
        <v>185</v>
      </c>
      <c r="Z20" t="s">
        <v>131</v>
      </c>
      <c r="AA20" s="90">
        <v>90803</v>
      </c>
      <c r="AB20" t="s">
        <v>132</v>
      </c>
      <c r="AC20" t="s">
        <v>1</v>
      </c>
      <c r="AD20" t="s">
        <v>140</v>
      </c>
    </row>
    <row r="21" spans="2:30" x14ac:dyDescent="0.25">
      <c r="B21">
        <v>100194</v>
      </c>
      <c r="C21" t="s">
        <v>186</v>
      </c>
      <c r="D21">
        <v>2016</v>
      </c>
      <c r="F21" s="89">
        <v>298402.73551839998</v>
      </c>
      <c r="G21" s="89" t="s">
        <v>128</v>
      </c>
      <c r="H21" s="89"/>
      <c r="I21" s="89">
        <v>298402.73551839998</v>
      </c>
      <c r="J21" s="89">
        <v>0</v>
      </c>
      <c r="K21" s="89">
        <v>0</v>
      </c>
      <c r="L21" s="89">
        <v>0</v>
      </c>
      <c r="M21" s="89">
        <v>0</v>
      </c>
      <c r="N21" s="89"/>
      <c r="O21" s="89">
        <v>298402.73551839998</v>
      </c>
      <c r="P21" s="89">
        <v>0</v>
      </c>
      <c r="Q21" s="89">
        <v>0</v>
      </c>
      <c r="R21" s="89">
        <v>298402.73551839998</v>
      </c>
      <c r="S21" s="89">
        <v>0</v>
      </c>
      <c r="T21"/>
      <c r="U21" t="s">
        <v>155</v>
      </c>
      <c r="V21" t="s">
        <v>129</v>
      </c>
      <c r="W21" t="s">
        <v>168</v>
      </c>
      <c r="Y21" t="s">
        <v>187</v>
      </c>
      <c r="Z21" t="s">
        <v>131</v>
      </c>
      <c r="AA21" s="90">
        <v>92646</v>
      </c>
      <c r="AB21" t="s">
        <v>132</v>
      </c>
      <c r="AC21" t="s">
        <v>1</v>
      </c>
      <c r="AD21" t="s">
        <v>140</v>
      </c>
    </row>
    <row r="22" spans="2:30" x14ac:dyDescent="0.25">
      <c r="B22">
        <v>100257</v>
      </c>
      <c r="C22" t="s">
        <v>188</v>
      </c>
      <c r="D22">
        <v>2016</v>
      </c>
      <c r="F22" s="89">
        <v>213408.23610079999</v>
      </c>
      <c r="G22" s="89" t="s">
        <v>128</v>
      </c>
      <c r="H22" s="89"/>
      <c r="I22" s="89">
        <v>213408.23610079999</v>
      </c>
      <c r="J22" s="89">
        <v>0</v>
      </c>
      <c r="K22" s="89">
        <v>0</v>
      </c>
      <c r="L22" s="89">
        <v>0</v>
      </c>
      <c r="M22" s="89">
        <v>0</v>
      </c>
      <c r="N22" s="89"/>
      <c r="O22" s="89">
        <v>213408.23610079999</v>
      </c>
      <c r="P22" s="89">
        <v>0</v>
      </c>
      <c r="Q22" s="89">
        <v>0</v>
      </c>
      <c r="R22" s="89">
        <v>213408.23610079999</v>
      </c>
      <c r="S22" s="89">
        <v>0</v>
      </c>
      <c r="T22"/>
      <c r="U22" t="s">
        <v>155</v>
      </c>
      <c r="V22" t="s">
        <v>129</v>
      </c>
      <c r="W22" t="s">
        <v>168</v>
      </c>
      <c r="Y22" t="s">
        <v>189</v>
      </c>
      <c r="Z22" t="s">
        <v>131</v>
      </c>
      <c r="AA22" s="90">
        <v>90277</v>
      </c>
      <c r="AB22" t="s">
        <v>132</v>
      </c>
      <c r="AC22" t="s">
        <v>1</v>
      </c>
      <c r="AD22" t="s">
        <v>140</v>
      </c>
    </row>
    <row r="23" spans="2:30" x14ac:dyDescent="0.25">
      <c r="B23">
        <v>104659</v>
      </c>
      <c r="C23" t="s">
        <v>190</v>
      </c>
      <c r="D23">
        <v>2016</v>
      </c>
      <c r="F23" s="89">
        <v>0</v>
      </c>
      <c r="G23" s="89" t="s">
        <v>128</v>
      </c>
      <c r="H23" s="89"/>
      <c r="I23" s="89">
        <v>0</v>
      </c>
      <c r="J23" s="89">
        <v>0</v>
      </c>
      <c r="K23" s="89">
        <v>0</v>
      </c>
      <c r="L23" s="89">
        <v>0</v>
      </c>
      <c r="M23" s="89">
        <v>0</v>
      </c>
      <c r="N23" s="89"/>
      <c r="O23" s="89">
        <v>0</v>
      </c>
      <c r="P23" s="89">
        <v>0</v>
      </c>
      <c r="Q23" s="89">
        <v>0</v>
      </c>
      <c r="R23" s="89">
        <v>0</v>
      </c>
      <c r="S23" s="89">
        <v>0</v>
      </c>
      <c r="T23"/>
      <c r="U23" t="s">
        <v>129</v>
      </c>
      <c r="V23" t="s">
        <v>129</v>
      </c>
      <c r="Y23" t="s">
        <v>191</v>
      </c>
      <c r="Z23" t="s">
        <v>192</v>
      </c>
      <c r="AA23" s="90">
        <v>10510</v>
      </c>
      <c r="AB23" t="s">
        <v>158</v>
      </c>
      <c r="AC23" t="s">
        <v>136</v>
      </c>
      <c r="AD23" t="s">
        <v>137</v>
      </c>
    </row>
    <row r="24" spans="2:30" x14ac:dyDescent="0.25">
      <c r="B24">
        <v>104554</v>
      </c>
      <c r="C24" t="s">
        <v>193</v>
      </c>
      <c r="D24">
        <v>2016</v>
      </c>
      <c r="F24" s="89">
        <v>13840.433192</v>
      </c>
      <c r="G24" s="89" t="s">
        <v>128</v>
      </c>
      <c r="H24" s="89"/>
      <c r="I24" s="89">
        <v>0</v>
      </c>
      <c r="J24" s="89">
        <v>0</v>
      </c>
      <c r="K24" s="89">
        <v>12.300992000000001</v>
      </c>
      <c r="L24" s="89">
        <v>13828.1322</v>
      </c>
      <c r="M24" s="89">
        <v>0</v>
      </c>
      <c r="N24" s="89"/>
      <c r="O24" s="89">
        <v>0</v>
      </c>
      <c r="P24" s="89">
        <v>0</v>
      </c>
      <c r="Q24" s="89">
        <v>0</v>
      </c>
      <c r="R24" s="89">
        <v>0</v>
      </c>
      <c r="S24" s="89">
        <v>13840.433192</v>
      </c>
      <c r="T24"/>
      <c r="U24" t="s">
        <v>129</v>
      </c>
      <c r="V24" t="s">
        <v>129</v>
      </c>
      <c r="Y24" t="s">
        <v>194</v>
      </c>
      <c r="Z24" t="s">
        <v>131</v>
      </c>
      <c r="AA24" s="90">
        <v>95076</v>
      </c>
      <c r="AB24" t="s">
        <v>195</v>
      </c>
      <c r="AC24" t="s">
        <v>147</v>
      </c>
      <c r="AD24" t="s">
        <v>148</v>
      </c>
    </row>
    <row r="25" spans="2:30" x14ac:dyDescent="0.25">
      <c r="B25">
        <v>101701</v>
      </c>
      <c r="C25" t="s">
        <v>196</v>
      </c>
      <c r="D25">
        <v>2016</v>
      </c>
      <c r="F25" s="89">
        <v>644287.16391963395</v>
      </c>
      <c r="G25" s="89" t="s">
        <v>128</v>
      </c>
      <c r="H25" s="89"/>
      <c r="I25" s="89">
        <v>644287.16391963395</v>
      </c>
      <c r="J25" s="89">
        <v>0</v>
      </c>
      <c r="K25" s="89">
        <v>0</v>
      </c>
      <c r="L25" s="89">
        <v>0</v>
      </c>
      <c r="M25" s="89">
        <v>0</v>
      </c>
      <c r="N25" s="89"/>
      <c r="O25" s="89">
        <v>644287.16391963395</v>
      </c>
      <c r="P25" s="89">
        <v>0</v>
      </c>
      <c r="Q25" s="89">
        <v>0</v>
      </c>
      <c r="R25" s="89">
        <v>644287.16391963395</v>
      </c>
      <c r="S25" s="89">
        <v>0</v>
      </c>
      <c r="T25"/>
      <c r="U25" t="s">
        <v>155</v>
      </c>
      <c r="V25" t="s">
        <v>155</v>
      </c>
      <c r="W25" t="s">
        <v>197</v>
      </c>
      <c r="Y25" t="s">
        <v>157</v>
      </c>
      <c r="Z25" t="s">
        <v>131</v>
      </c>
      <c r="AA25" s="90">
        <v>90245</v>
      </c>
      <c r="AB25" t="s">
        <v>198</v>
      </c>
      <c r="AC25" t="s">
        <v>199</v>
      </c>
      <c r="AD25" t="s">
        <v>200</v>
      </c>
    </row>
    <row r="26" spans="2:30" x14ac:dyDescent="0.25">
      <c r="B26">
        <v>101749</v>
      </c>
      <c r="C26" t="s">
        <v>201</v>
      </c>
      <c r="D26">
        <v>2016</v>
      </c>
      <c r="F26" s="89">
        <v>773173.63624342997</v>
      </c>
      <c r="G26" s="89" t="s">
        <v>128</v>
      </c>
      <c r="H26" s="89"/>
      <c r="I26" s="89">
        <v>773173.63624342997</v>
      </c>
      <c r="J26" s="89">
        <v>0</v>
      </c>
      <c r="K26" s="89">
        <v>0</v>
      </c>
      <c r="L26" s="89">
        <v>0</v>
      </c>
      <c r="M26" s="89">
        <v>0</v>
      </c>
      <c r="N26" s="89"/>
      <c r="O26" s="89">
        <v>773173.63624342997</v>
      </c>
      <c r="P26" s="89">
        <v>0</v>
      </c>
      <c r="Q26" s="89">
        <v>0</v>
      </c>
      <c r="R26" s="89">
        <v>773173.63624342997</v>
      </c>
      <c r="S26" s="89">
        <v>0</v>
      </c>
      <c r="T26"/>
      <c r="U26" t="s">
        <v>155</v>
      </c>
      <c r="V26" t="s">
        <v>155</v>
      </c>
      <c r="W26" t="s">
        <v>197</v>
      </c>
      <c r="Y26" t="s">
        <v>202</v>
      </c>
      <c r="Z26" t="s">
        <v>131</v>
      </c>
      <c r="AA26" s="90">
        <v>94572</v>
      </c>
      <c r="AB26" t="s">
        <v>198</v>
      </c>
      <c r="AC26" t="s">
        <v>199</v>
      </c>
      <c r="AD26" t="s">
        <v>200</v>
      </c>
    </row>
    <row r="27" spans="2:30" x14ac:dyDescent="0.25">
      <c r="B27">
        <v>101017</v>
      </c>
      <c r="C27" t="s">
        <v>203</v>
      </c>
      <c r="D27">
        <v>2016</v>
      </c>
      <c r="F27" s="89">
        <v>264231.92300000001</v>
      </c>
      <c r="G27" s="89" t="s">
        <v>128</v>
      </c>
      <c r="H27" s="89"/>
      <c r="I27" s="89">
        <v>264231.92300000001</v>
      </c>
      <c r="J27" s="89">
        <v>0</v>
      </c>
      <c r="K27" s="89">
        <v>0</v>
      </c>
      <c r="L27" s="89">
        <v>0</v>
      </c>
      <c r="M27" s="89">
        <v>0</v>
      </c>
      <c r="N27" s="89"/>
      <c r="O27" s="89">
        <v>264231.92300000001</v>
      </c>
      <c r="P27" s="89">
        <v>0</v>
      </c>
      <c r="Q27" s="89">
        <v>0</v>
      </c>
      <c r="R27" s="89">
        <v>264231.92300000001</v>
      </c>
      <c r="S27" s="89">
        <v>0</v>
      </c>
      <c r="T27"/>
      <c r="U27" t="s">
        <v>155</v>
      </c>
      <c r="V27" t="s">
        <v>155</v>
      </c>
      <c r="W27" t="s">
        <v>204</v>
      </c>
      <c r="Y27" t="s">
        <v>205</v>
      </c>
      <c r="Z27" t="s">
        <v>131</v>
      </c>
      <c r="AA27" s="90">
        <v>94553</v>
      </c>
      <c r="AB27" t="s">
        <v>198</v>
      </c>
      <c r="AC27" t="s">
        <v>34</v>
      </c>
      <c r="AD27" t="s">
        <v>200</v>
      </c>
    </row>
    <row r="28" spans="2:30" x14ac:dyDescent="0.25">
      <c r="B28">
        <v>101248</v>
      </c>
      <c r="C28" t="s">
        <v>206</v>
      </c>
      <c r="D28">
        <v>2016</v>
      </c>
      <c r="F28" s="89">
        <v>743423.38184914505</v>
      </c>
      <c r="G28" s="89" t="s">
        <v>128</v>
      </c>
      <c r="H28" s="89"/>
      <c r="I28" s="89">
        <v>743423.38184914505</v>
      </c>
      <c r="J28" s="89">
        <v>0</v>
      </c>
      <c r="K28" s="89">
        <v>0</v>
      </c>
      <c r="L28" s="89">
        <v>0</v>
      </c>
      <c r="M28" s="89">
        <v>0</v>
      </c>
      <c r="N28" s="89"/>
      <c r="O28" s="89">
        <v>743423.38184914505</v>
      </c>
      <c r="P28" s="89">
        <v>0</v>
      </c>
      <c r="Q28" s="89">
        <v>0</v>
      </c>
      <c r="R28" s="89">
        <v>743423.38184914505</v>
      </c>
      <c r="S28" s="89">
        <v>0</v>
      </c>
      <c r="T28"/>
      <c r="U28" t="s">
        <v>155</v>
      </c>
      <c r="V28" t="s">
        <v>155</v>
      </c>
      <c r="W28" t="s">
        <v>204</v>
      </c>
      <c r="Y28" t="s">
        <v>207</v>
      </c>
      <c r="Z28" t="s">
        <v>131</v>
      </c>
      <c r="AA28" s="90">
        <v>90810</v>
      </c>
      <c r="AB28" t="s">
        <v>198</v>
      </c>
      <c r="AC28" t="s">
        <v>199</v>
      </c>
      <c r="AD28" t="s">
        <v>200</v>
      </c>
    </row>
    <row r="29" spans="2:30" x14ac:dyDescent="0.25">
      <c r="B29">
        <v>101512</v>
      </c>
      <c r="C29" t="s">
        <v>208</v>
      </c>
      <c r="D29">
        <v>2016</v>
      </c>
      <c r="F29" s="89">
        <v>45336.828998176097</v>
      </c>
      <c r="G29" s="89" t="s">
        <v>128</v>
      </c>
      <c r="H29" s="89"/>
      <c r="I29" s="89">
        <v>45336.828998176097</v>
      </c>
      <c r="J29" s="89">
        <v>0</v>
      </c>
      <c r="K29" s="89">
        <v>0</v>
      </c>
      <c r="L29" s="89">
        <v>0</v>
      </c>
      <c r="M29" s="89">
        <v>0</v>
      </c>
      <c r="N29" s="89"/>
      <c r="O29" s="89">
        <v>45336.828998176097</v>
      </c>
      <c r="P29" s="89">
        <v>0</v>
      </c>
      <c r="Q29" s="89">
        <v>0</v>
      </c>
      <c r="R29" s="89">
        <v>45336.828998176097</v>
      </c>
      <c r="S29" s="89">
        <v>0</v>
      </c>
      <c r="T29"/>
      <c r="U29" t="s">
        <v>155</v>
      </c>
      <c r="V29" t="s">
        <v>155</v>
      </c>
      <c r="W29" t="s">
        <v>204</v>
      </c>
      <c r="Y29" t="s">
        <v>134</v>
      </c>
      <c r="Z29" t="s">
        <v>131</v>
      </c>
      <c r="AA29" s="90">
        <v>95826</v>
      </c>
      <c r="AB29" t="s">
        <v>198</v>
      </c>
      <c r="AC29" t="s">
        <v>34</v>
      </c>
      <c r="AD29" t="s">
        <v>200</v>
      </c>
    </row>
    <row r="30" spans="2:30" x14ac:dyDescent="0.25">
      <c r="B30">
        <v>100127</v>
      </c>
      <c r="C30" t="s">
        <v>209</v>
      </c>
      <c r="D30">
        <v>2016</v>
      </c>
      <c r="F30" s="89">
        <v>647841.56593325897</v>
      </c>
      <c r="G30" s="89" t="s">
        <v>128</v>
      </c>
      <c r="H30" s="89"/>
      <c r="I30" s="89">
        <v>647841.56593325897</v>
      </c>
      <c r="J30" s="89">
        <v>0</v>
      </c>
      <c r="K30" s="89">
        <v>0</v>
      </c>
      <c r="L30" s="89">
        <v>0</v>
      </c>
      <c r="M30" s="89">
        <v>0</v>
      </c>
      <c r="N30" s="89"/>
      <c r="O30" s="89">
        <v>647841.56593325897</v>
      </c>
      <c r="P30" s="89">
        <v>0</v>
      </c>
      <c r="Q30" s="89">
        <v>0</v>
      </c>
      <c r="R30" s="89">
        <v>647841.56593325897</v>
      </c>
      <c r="S30" s="89">
        <v>0</v>
      </c>
      <c r="T30"/>
      <c r="U30" t="s">
        <v>210</v>
      </c>
      <c r="V30" t="s">
        <v>155</v>
      </c>
      <c r="W30" t="s">
        <v>204</v>
      </c>
      <c r="Y30" t="s">
        <v>211</v>
      </c>
      <c r="Z30" t="s">
        <v>131</v>
      </c>
      <c r="AA30" s="90">
        <v>90744</v>
      </c>
      <c r="AB30" t="s">
        <v>198</v>
      </c>
      <c r="AC30" t="s">
        <v>199</v>
      </c>
      <c r="AD30" t="s">
        <v>200</v>
      </c>
    </row>
    <row r="31" spans="2:30" x14ac:dyDescent="0.25">
      <c r="B31">
        <v>3022</v>
      </c>
      <c r="C31" t="s">
        <v>212</v>
      </c>
      <c r="D31">
        <v>2016</v>
      </c>
      <c r="F31" s="89">
        <v>0</v>
      </c>
      <c r="G31" s="89" t="s">
        <v>128</v>
      </c>
      <c r="H31" s="89"/>
      <c r="I31" s="89">
        <v>0</v>
      </c>
      <c r="J31" s="89">
        <v>0</v>
      </c>
      <c r="K31" s="89">
        <v>0</v>
      </c>
      <c r="L31" s="89">
        <v>0</v>
      </c>
      <c r="M31" s="89">
        <v>0</v>
      </c>
      <c r="N31" s="89"/>
      <c r="O31" s="89">
        <v>0</v>
      </c>
      <c r="P31" s="89">
        <v>0</v>
      </c>
      <c r="Q31" s="89">
        <v>0</v>
      </c>
      <c r="R31" s="89">
        <v>0</v>
      </c>
      <c r="S31" s="89">
        <v>0</v>
      </c>
      <c r="T31"/>
      <c r="U31" t="s">
        <v>129</v>
      </c>
      <c r="V31" t="s">
        <v>129</v>
      </c>
      <c r="Y31" t="s">
        <v>213</v>
      </c>
      <c r="Z31" t="s">
        <v>131</v>
      </c>
      <c r="AA31" s="90">
        <v>94501</v>
      </c>
      <c r="AB31" t="s">
        <v>158</v>
      </c>
      <c r="AC31" t="s">
        <v>136</v>
      </c>
      <c r="AD31" t="s">
        <v>137</v>
      </c>
    </row>
    <row r="32" spans="2:30" x14ac:dyDescent="0.25">
      <c r="B32">
        <v>101433</v>
      </c>
      <c r="C32" t="s">
        <v>214</v>
      </c>
      <c r="D32">
        <v>2016</v>
      </c>
      <c r="F32" s="89">
        <v>53460.255858102602</v>
      </c>
      <c r="G32" s="89" t="s">
        <v>128</v>
      </c>
      <c r="H32" s="89"/>
      <c r="I32" s="89">
        <v>53460.255858102602</v>
      </c>
      <c r="J32" s="89">
        <v>0</v>
      </c>
      <c r="K32" s="89">
        <v>0</v>
      </c>
      <c r="L32" s="89">
        <v>0</v>
      </c>
      <c r="M32" s="89">
        <v>0</v>
      </c>
      <c r="N32" s="89"/>
      <c r="O32" s="89">
        <v>53460.255858102602</v>
      </c>
      <c r="P32" s="89">
        <v>0</v>
      </c>
      <c r="Q32" s="89">
        <v>0</v>
      </c>
      <c r="R32" s="89">
        <v>53460.255858102602</v>
      </c>
      <c r="S32" s="89">
        <v>0</v>
      </c>
      <c r="T32"/>
      <c r="U32" t="s">
        <v>155</v>
      </c>
      <c r="V32" t="s">
        <v>129</v>
      </c>
      <c r="W32" t="s">
        <v>215</v>
      </c>
      <c r="Y32" t="s">
        <v>216</v>
      </c>
      <c r="Z32" t="s">
        <v>131</v>
      </c>
      <c r="AA32" s="90">
        <v>93657</v>
      </c>
      <c r="AB32" t="s">
        <v>132</v>
      </c>
      <c r="AC32" t="s">
        <v>0</v>
      </c>
      <c r="AD32" t="s">
        <v>133</v>
      </c>
    </row>
    <row r="33" spans="2:30" x14ac:dyDescent="0.25">
      <c r="B33">
        <v>104345</v>
      </c>
      <c r="C33" t="s">
        <v>217</v>
      </c>
      <c r="D33">
        <v>2016</v>
      </c>
      <c r="F33" s="89">
        <v>12659.8161088</v>
      </c>
      <c r="G33" s="89" t="s">
        <v>128</v>
      </c>
      <c r="H33" s="89"/>
      <c r="I33" s="89">
        <v>12659.8161088</v>
      </c>
      <c r="J33" s="89">
        <v>0</v>
      </c>
      <c r="K33" s="89">
        <v>0</v>
      </c>
      <c r="L33" s="89">
        <v>0</v>
      </c>
      <c r="M33" s="89">
        <v>0</v>
      </c>
      <c r="N33" s="89"/>
      <c r="O33" s="89">
        <v>0</v>
      </c>
      <c r="P33" s="89">
        <v>0</v>
      </c>
      <c r="Q33" s="89">
        <v>0</v>
      </c>
      <c r="R33" s="89">
        <v>0</v>
      </c>
      <c r="S33" s="89">
        <v>12659.8161088</v>
      </c>
      <c r="T33"/>
      <c r="U33" t="s">
        <v>129</v>
      </c>
      <c r="V33" t="s">
        <v>129</v>
      </c>
      <c r="Y33" t="s">
        <v>160</v>
      </c>
      <c r="Z33" t="s">
        <v>131</v>
      </c>
      <c r="AA33" s="90">
        <v>92879</v>
      </c>
      <c r="AB33" t="s">
        <v>218</v>
      </c>
      <c r="AC33" t="s">
        <v>0</v>
      </c>
      <c r="AD33" t="s">
        <v>143</v>
      </c>
    </row>
    <row r="34" spans="2:30" x14ac:dyDescent="0.25">
      <c r="B34">
        <v>104666</v>
      </c>
      <c r="C34" t="s">
        <v>219</v>
      </c>
      <c r="D34">
        <v>2016</v>
      </c>
      <c r="F34" s="89">
        <v>9815.0083071999998</v>
      </c>
      <c r="G34" s="89" t="s">
        <v>128</v>
      </c>
      <c r="H34" s="89"/>
      <c r="I34" s="89">
        <v>9815.0083071999998</v>
      </c>
      <c r="J34" s="89">
        <v>0</v>
      </c>
      <c r="K34" s="89">
        <v>0</v>
      </c>
      <c r="L34" s="89">
        <v>0</v>
      </c>
      <c r="M34" s="89">
        <v>0</v>
      </c>
      <c r="N34" s="89"/>
      <c r="O34" s="89">
        <v>0</v>
      </c>
      <c r="P34" s="89">
        <v>0</v>
      </c>
      <c r="Q34" s="89">
        <v>0</v>
      </c>
      <c r="R34" s="89">
        <v>0</v>
      </c>
      <c r="S34" s="89">
        <v>9815.0083071999998</v>
      </c>
      <c r="T34"/>
      <c r="U34" t="s">
        <v>129</v>
      </c>
      <c r="V34" t="s">
        <v>129</v>
      </c>
      <c r="Y34" t="s">
        <v>220</v>
      </c>
      <c r="Z34" t="s">
        <v>131</v>
      </c>
      <c r="AA34" s="90">
        <v>92602</v>
      </c>
      <c r="AB34" t="s">
        <v>218</v>
      </c>
      <c r="AC34" t="s">
        <v>0</v>
      </c>
      <c r="AD34" t="s">
        <v>143</v>
      </c>
    </row>
    <row r="35" spans="2:30" x14ac:dyDescent="0.25">
      <c r="B35">
        <v>101231</v>
      </c>
      <c r="C35" t="s">
        <v>221</v>
      </c>
      <c r="D35">
        <v>2016</v>
      </c>
      <c r="F35" s="89">
        <v>173111.075337057</v>
      </c>
      <c r="G35" s="89" t="s">
        <v>128</v>
      </c>
      <c r="H35" s="89"/>
      <c r="I35" s="89">
        <v>173111.075337057</v>
      </c>
      <c r="J35" s="89">
        <v>0</v>
      </c>
      <c r="K35" s="89">
        <v>0</v>
      </c>
      <c r="L35" s="89">
        <v>0</v>
      </c>
      <c r="M35" s="89">
        <v>0</v>
      </c>
      <c r="N35" s="89"/>
      <c r="O35" s="89">
        <v>172681.4433408</v>
      </c>
      <c r="P35" s="89">
        <v>0</v>
      </c>
      <c r="Q35" s="89">
        <v>0</v>
      </c>
      <c r="R35" s="89">
        <v>172681.4433408</v>
      </c>
      <c r="S35" s="89">
        <v>429.63199625760001</v>
      </c>
      <c r="T35"/>
      <c r="U35" t="s">
        <v>210</v>
      </c>
      <c r="V35" t="s">
        <v>155</v>
      </c>
      <c r="W35" t="s">
        <v>222</v>
      </c>
      <c r="Y35" t="s">
        <v>178</v>
      </c>
      <c r="Z35" t="s">
        <v>131</v>
      </c>
      <c r="AA35" s="90">
        <v>93308</v>
      </c>
      <c r="AB35" t="s">
        <v>170</v>
      </c>
      <c r="AC35" t="s">
        <v>175</v>
      </c>
      <c r="AD35" t="s">
        <v>176</v>
      </c>
    </row>
    <row r="36" spans="2:30" x14ac:dyDescent="0.25">
      <c r="B36">
        <v>104406</v>
      </c>
      <c r="C36" t="s">
        <v>223</v>
      </c>
      <c r="D36">
        <v>2016</v>
      </c>
      <c r="F36" s="89">
        <v>9106.4971072000008</v>
      </c>
      <c r="G36" s="89" t="s">
        <v>128</v>
      </c>
      <c r="H36" s="89"/>
      <c r="I36" s="89">
        <v>9106.4971072000008</v>
      </c>
      <c r="J36" s="89">
        <v>0</v>
      </c>
      <c r="K36" s="89">
        <v>0</v>
      </c>
      <c r="L36" s="89">
        <v>0</v>
      </c>
      <c r="M36" s="89">
        <v>0</v>
      </c>
      <c r="N36" s="89"/>
      <c r="O36" s="89">
        <v>0</v>
      </c>
      <c r="P36" s="89">
        <v>0</v>
      </c>
      <c r="Q36" s="89">
        <v>0</v>
      </c>
      <c r="R36" s="89">
        <v>0</v>
      </c>
      <c r="S36" s="89">
        <v>9106.4971072000008</v>
      </c>
      <c r="T36"/>
      <c r="U36" t="s">
        <v>129</v>
      </c>
      <c r="V36" t="s">
        <v>129</v>
      </c>
      <c r="Y36" t="s">
        <v>220</v>
      </c>
      <c r="Z36" t="s">
        <v>131</v>
      </c>
      <c r="AA36" s="90">
        <v>92612</v>
      </c>
      <c r="AB36" t="s">
        <v>224</v>
      </c>
      <c r="AC36" t="s">
        <v>0</v>
      </c>
      <c r="AD36" t="s">
        <v>143</v>
      </c>
    </row>
    <row r="37" spans="2:30" x14ac:dyDescent="0.25">
      <c r="B37">
        <v>104341</v>
      </c>
      <c r="C37" t="s">
        <v>225</v>
      </c>
      <c r="D37">
        <v>2016</v>
      </c>
      <c r="F37" s="89">
        <v>8844.0348384000008</v>
      </c>
      <c r="G37" s="89" t="s">
        <v>128</v>
      </c>
      <c r="H37" s="89"/>
      <c r="I37" s="89">
        <v>8844.0348384000008</v>
      </c>
      <c r="J37" s="89">
        <v>0</v>
      </c>
      <c r="K37" s="89">
        <v>0</v>
      </c>
      <c r="L37" s="89">
        <v>0</v>
      </c>
      <c r="M37" s="89">
        <v>0</v>
      </c>
      <c r="N37" s="89"/>
      <c r="O37" s="89">
        <v>0</v>
      </c>
      <c r="P37" s="89">
        <v>0</v>
      </c>
      <c r="Q37" s="89">
        <v>0</v>
      </c>
      <c r="R37" s="89">
        <v>0</v>
      </c>
      <c r="S37" s="89">
        <v>8844.0348384000008</v>
      </c>
      <c r="T37"/>
      <c r="U37" t="s">
        <v>129</v>
      </c>
      <c r="V37" t="s">
        <v>129</v>
      </c>
      <c r="Y37" t="s">
        <v>226</v>
      </c>
      <c r="Z37" t="s">
        <v>131</v>
      </c>
      <c r="AA37" s="90">
        <v>95624</v>
      </c>
      <c r="AB37" t="s">
        <v>227</v>
      </c>
      <c r="AC37" t="s">
        <v>0</v>
      </c>
      <c r="AD37" t="s">
        <v>143</v>
      </c>
    </row>
    <row r="38" spans="2:30" x14ac:dyDescent="0.25">
      <c r="B38">
        <v>100884</v>
      </c>
      <c r="C38" t="s">
        <v>228</v>
      </c>
      <c r="D38">
        <v>2016</v>
      </c>
      <c r="F38" s="89">
        <v>0</v>
      </c>
      <c r="G38" s="89" t="s">
        <v>128</v>
      </c>
      <c r="H38" s="89"/>
      <c r="I38" s="89">
        <v>0</v>
      </c>
      <c r="J38" s="89">
        <v>0</v>
      </c>
      <c r="K38" s="89">
        <v>0</v>
      </c>
      <c r="L38" s="89">
        <v>0</v>
      </c>
      <c r="M38" s="89">
        <v>0</v>
      </c>
      <c r="N38" s="89"/>
      <c r="O38" s="89">
        <v>0</v>
      </c>
      <c r="P38" s="89">
        <v>0</v>
      </c>
      <c r="Q38" s="89">
        <v>0</v>
      </c>
      <c r="R38" s="89">
        <v>0</v>
      </c>
      <c r="S38" s="89">
        <v>0</v>
      </c>
      <c r="T38"/>
      <c r="U38" t="s">
        <v>129</v>
      </c>
      <c r="V38" t="s">
        <v>129</v>
      </c>
      <c r="Y38" t="s">
        <v>178</v>
      </c>
      <c r="Z38" t="s">
        <v>131</v>
      </c>
      <c r="AA38" s="90">
        <v>93308</v>
      </c>
      <c r="AB38" t="s">
        <v>229</v>
      </c>
      <c r="AC38" t="s">
        <v>0</v>
      </c>
      <c r="AD38" t="s">
        <v>230</v>
      </c>
    </row>
    <row r="39" spans="2:30" x14ac:dyDescent="0.25">
      <c r="B39">
        <v>101237</v>
      </c>
      <c r="C39" t="s">
        <v>231</v>
      </c>
      <c r="D39">
        <v>2016</v>
      </c>
      <c r="F39" s="89">
        <v>25893.903281987801</v>
      </c>
      <c r="G39" s="89" t="s">
        <v>128</v>
      </c>
      <c r="H39" s="89"/>
      <c r="I39" s="89">
        <v>25893.903281987801</v>
      </c>
      <c r="J39" s="89">
        <v>0</v>
      </c>
      <c r="K39" s="89">
        <v>0</v>
      </c>
      <c r="L39" s="89">
        <v>0</v>
      </c>
      <c r="M39" s="89">
        <v>0</v>
      </c>
      <c r="N39" s="89"/>
      <c r="O39" s="89">
        <v>25893.903281987801</v>
      </c>
      <c r="P39" s="89">
        <v>0</v>
      </c>
      <c r="Q39" s="89">
        <v>0</v>
      </c>
      <c r="R39" s="89">
        <v>25893.903281987801</v>
      </c>
      <c r="S39" s="89">
        <v>0</v>
      </c>
      <c r="T39"/>
      <c r="U39" t="s">
        <v>155</v>
      </c>
      <c r="V39" t="s">
        <v>129</v>
      </c>
      <c r="W39" t="s">
        <v>232</v>
      </c>
      <c r="Y39" t="s">
        <v>178</v>
      </c>
      <c r="Z39" t="s">
        <v>131</v>
      </c>
      <c r="AA39" s="90">
        <v>93308</v>
      </c>
      <c r="AB39" t="s">
        <v>229</v>
      </c>
      <c r="AC39" t="s">
        <v>0</v>
      </c>
      <c r="AD39" t="s">
        <v>230</v>
      </c>
    </row>
    <row r="40" spans="2:30" x14ac:dyDescent="0.25">
      <c r="B40">
        <v>104499</v>
      </c>
      <c r="C40" t="s">
        <v>233</v>
      </c>
      <c r="D40">
        <v>2016</v>
      </c>
      <c r="F40" s="89">
        <v>0</v>
      </c>
      <c r="G40" s="89" t="s">
        <v>128</v>
      </c>
      <c r="H40" s="89"/>
      <c r="I40" s="89">
        <v>0</v>
      </c>
      <c r="J40" s="89">
        <v>0</v>
      </c>
      <c r="K40" s="89">
        <v>0</v>
      </c>
      <c r="L40" s="89">
        <v>0</v>
      </c>
      <c r="M40" s="89">
        <v>0</v>
      </c>
      <c r="N40" s="89"/>
      <c r="O40" s="89">
        <v>0</v>
      </c>
      <c r="P40" s="89">
        <v>0</v>
      </c>
      <c r="Q40" s="89">
        <v>0</v>
      </c>
      <c r="R40" s="89">
        <v>0</v>
      </c>
      <c r="S40" s="89">
        <v>0</v>
      </c>
      <c r="T40"/>
      <c r="U40" t="s">
        <v>129</v>
      </c>
      <c r="V40" t="s">
        <v>129</v>
      </c>
      <c r="Y40" t="s">
        <v>178</v>
      </c>
      <c r="Z40" t="s">
        <v>131</v>
      </c>
      <c r="AA40" s="90">
        <v>93308</v>
      </c>
      <c r="AB40" t="s">
        <v>229</v>
      </c>
      <c r="AC40" t="s">
        <v>147</v>
      </c>
      <c r="AD40" t="s">
        <v>148</v>
      </c>
    </row>
    <row r="41" spans="2:30" x14ac:dyDescent="0.25">
      <c r="B41">
        <v>101371</v>
      </c>
      <c r="C41" t="s">
        <v>234</v>
      </c>
      <c r="D41">
        <v>2016</v>
      </c>
      <c r="F41" s="89">
        <v>1684.1815408</v>
      </c>
      <c r="G41" s="89" t="s">
        <v>128</v>
      </c>
      <c r="H41" s="89"/>
      <c r="I41" s="89">
        <v>1684.1815408</v>
      </c>
      <c r="J41" s="89">
        <v>0</v>
      </c>
      <c r="K41" s="89">
        <v>0</v>
      </c>
      <c r="L41" s="89">
        <v>0</v>
      </c>
      <c r="M41" s="89">
        <v>0</v>
      </c>
      <c r="N41" s="89"/>
      <c r="O41" s="89">
        <v>1684.1815408</v>
      </c>
      <c r="P41" s="89">
        <v>0</v>
      </c>
      <c r="Q41" s="89">
        <v>0</v>
      </c>
      <c r="R41" s="89">
        <v>1684.1815408</v>
      </c>
      <c r="S41" s="89">
        <v>0</v>
      </c>
      <c r="T41"/>
      <c r="U41" t="s">
        <v>155</v>
      </c>
      <c r="V41" t="s">
        <v>129</v>
      </c>
      <c r="W41" t="s">
        <v>235</v>
      </c>
      <c r="Y41" t="s">
        <v>236</v>
      </c>
      <c r="Z41" t="s">
        <v>131</v>
      </c>
      <c r="AA41" s="90">
        <v>91768</v>
      </c>
      <c r="AB41" t="s">
        <v>132</v>
      </c>
      <c r="AC41" t="s">
        <v>0</v>
      </c>
      <c r="AD41" t="s">
        <v>133</v>
      </c>
    </row>
    <row r="42" spans="2:30" x14ac:dyDescent="0.25">
      <c r="B42">
        <v>100283</v>
      </c>
      <c r="C42" t="s">
        <v>237</v>
      </c>
      <c r="D42">
        <v>2016</v>
      </c>
      <c r="F42" s="89">
        <v>5803.0124227200004</v>
      </c>
      <c r="G42" s="89" t="s">
        <v>128</v>
      </c>
      <c r="H42" s="89"/>
      <c r="I42" s="89">
        <v>5803.0124227200004</v>
      </c>
      <c r="J42" s="89">
        <v>0</v>
      </c>
      <c r="K42" s="89">
        <v>0</v>
      </c>
      <c r="L42" s="89">
        <v>0</v>
      </c>
      <c r="M42" s="89">
        <v>0</v>
      </c>
      <c r="N42" s="89"/>
      <c r="O42" s="89">
        <v>5803.0124227200004</v>
      </c>
      <c r="P42" s="89">
        <v>0</v>
      </c>
      <c r="Q42" s="89">
        <v>0</v>
      </c>
      <c r="R42" s="89">
        <v>5803.0124227200004</v>
      </c>
      <c r="S42" s="89">
        <v>0</v>
      </c>
      <c r="T42"/>
      <c r="U42" t="s">
        <v>155</v>
      </c>
      <c r="V42" t="s">
        <v>129</v>
      </c>
      <c r="W42" t="s">
        <v>235</v>
      </c>
      <c r="Y42" t="s">
        <v>238</v>
      </c>
      <c r="Z42" t="s">
        <v>131</v>
      </c>
      <c r="AA42" s="90">
        <v>95366</v>
      </c>
      <c r="AB42" t="s">
        <v>132</v>
      </c>
      <c r="AC42" t="s">
        <v>0</v>
      </c>
      <c r="AD42" t="s">
        <v>133</v>
      </c>
    </row>
    <row r="43" spans="2:30" x14ac:dyDescent="0.25">
      <c r="B43">
        <v>104027</v>
      </c>
      <c r="C43" t="s">
        <v>239</v>
      </c>
      <c r="D43">
        <v>2016</v>
      </c>
      <c r="F43" s="89">
        <v>34595.411838420398</v>
      </c>
      <c r="G43" s="89" t="s">
        <v>128</v>
      </c>
      <c r="H43" s="89"/>
      <c r="I43" s="89">
        <v>173.61183842040001</v>
      </c>
      <c r="J43" s="89">
        <v>34421.800000000003</v>
      </c>
      <c r="K43" s="89">
        <v>0</v>
      </c>
      <c r="L43" s="89">
        <v>0</v>
      </c>
      <c r="M43" s="89">
        <v>0</v>
      </c>
      <c r="N43" s="89"/>
      <c r="O43" s="89">
        <v>0</v>
      </c>
      <c r="P43" s="89">
        <v>0</v>
      </c>
      <c r="Q43" s="89">
        <v>0</v>
      </c>
      <c r="R43" s="89">
        <v>0</v>
      </c>
      <c r="S43" s="89">
        <v>34595.411838420398</v>
      </c>
      <c r="T43"/>
      <c r="U43" t="s">
        <v>155</v>
      </c>
      <c r="V43" t="s">
        <v>129</v>
      </c>
      <c r="W43" t="s">
        <v>197</v>
      </c>
      <c r="Y43" t="s">
        <v>240</v>
      </c>
      <c r="Z43" t="s">
        <v>131</v>
      </c>
      <c r="AA43" s="90">
        <v>91384</v>
      </c>
      <c r="AB43" t="s">
        <v>241</v>
      </c>
      <c r="AC43" t="s">
        <v>0</v>
      </c>
      <c r="AD43" t="s">
        <v>140</v>
      </c>
    </row>
    <row r="44" spans="2:30" x14ac:dyDescent="0.25">
      <c r="B44">
        <v>104637</v>
      </c>
      <c r="C44" t="s">
        <v>242</v>
      </c>
      <c r="D44">
        <v>2016</v>
      </c>
      <c r="F44" s="89">
        <v>17157.681787355999</v>
      </c>
      <c r="G44" s="89" t="s">
        <v>128</v>
      </c>
      <c r="H44" s="89"/>
      <c r="I44" s="89">
        <v>86.081787356000007</v>
      </c>
      <c r="J44" s="89">
        <v>17071.599999999999</v>
      </c>
      <c r="K44" s="89">
        <v>0</v>
      </c>
      <c r="L44" s="89">
        <v>0</v>
      </c>
      <c r="M44" s="89">
        <v>0</v>
      </c>
      <c r="N44" s="89"/>
      <c r="O44" s="89">
        <v>0</v>
      </c>
      <c r="P44" s="89">
        <v>0</v>
      </c>
      <c r="Q44" s="89">
        <v>0</v>
      </c>
      <c r="R44" s="89">
        <v>0</v>
      </c>
      <c r="S44" s="89">
        <v>17157.681787355999</v>
      </c>
      <c r="T44"/>
      <c r="U44" t="s">
        <v>129</v>
      </c>
      <c r="V44" t="s">
        <v>129</v>
      </c>
      <c r="Y44" t="s">
        <v>243</v>
      </c>
      <c r="Z44" t="s">
        <v>131</v>
      </c>
      <c r="AA44" s="90">
        <v>95336</v>
      </c>
      <c r="AB44" t="s">
        <v>241</v>
      </c>
      <c r="AC44" t="s">
        <v>0</v>
      </c>
      <c r="AD44" t="s">
        <v>140</v>
      </c>
    </row>
    <row r="45" spans="2:30" x14ac:dyDescent="0.25">
      <c r="B45">
        <v>101657</v>
      </c>
      <c r="C45" t="s">
        <v>244</v>
      </c>
      <c r="D45">
        <v>2016</v>
      </c>
      <c r="F45" s="89">
        <v>46897.290636275597</v>
      </c>
      <c r="G45" s="89" t="s">
        <v>128</v>
      </c>
      <c r="H45" s="89"/>
      <c r="I45" s="89">
        <v>235.29063627566001</v>
      </c>
      <c r="J45" s="89">
        <v>46662</v>
      </c>
      <c r="K45" s="89">
        <v>0</v>
      </c>
      <c r="L45" s="89">
        <v>0</v>
      </c>
      <c r="M45" s="89">
        <v>0</v>
      </c>
      <c r="N45" s="89"/>
      <c r="O45" s="89">
        <v>0</v>
      </c>
      <c r="P45" s="89">
        <v>0</v>
      </c>
      <c r="Q45" s="89">
        <v>0</v>
      </c>
      <c r="R45" s="89">
        <v>0</v>
      </c>
      <c r="S45" s="89">
        <v>46897.290636275597</v>
      </c>
      <c r="T45"/>
      <c r="U45" t="s">
        <v>155</v>
      </c>
      <c r="V45" t="s">
        <v>129</v>
      </c>
      <c r="W45" t="s">
        <v>197</v>
      </c>
      <c r="Y45" t="s">
        <v>245</v>
      </c>
      <c r="Z45" t="s">
        <v>131</v>
      </c>
      <c r="AA45" s="90">
        <v>94019</v>
      </c>
      <c r="AB45" t="s">
        <v>241</v>
      </c>
      <c r="AC45" t="s">
        <v>0</v>
      </c>
      <c r="AD45" t="s">
        <v>140</v>
      </c>
    </row>
    <row r="46" spans="2:30" x14ac:dyDescent="0.25">
      <c r="B46">
        <v>101748</v>
      </c>
      <c r="C46" t="s">
        <v>246</v>
      </c>
      <c r="D46">
        <v>2016</v>
      </c>
      <c r="F46" s="89">
        <v>16794.884093548</v>
      </c>
      <c r="G46" s="89" t="s">
        <v>128</v>
      </c>
      <c r="H46" s="89"/>
      <c r="I46" s="89">
        <v>84.284093548000001</v>
      </c>
      <c r="J46" s="89">
        <v>16710.599999999999</v>
      </c>
      <c r="K46" s="89">
        <v>0</v>
      </c>
      <c r="L46" s="89">
        <v>0</v>
      </c>
      <c r="M46" s="89">
        <v>0</v>
      </c>
      <c r="N46" s="89"/>
      <c r="O46" s="89">
        <v>0</v>
      </c>
      <c r="P46" s="89">
        <v>0</v>
      </c>
      <c r="Q46" s="89">
        <v>0</v>
      </c>
      <c r="R46" s="89">
        <v>0</v>
      </c>
      <c r="S46" s="89">
        <v>16794.884093548</v>
      </c>
      <c r="T46"/>
      <c r="U46" t="s">
        <v>129</v>
      </c>
      <c r="V46" t="s">
        <v>129</v>
      </c>
      <c r="Y46" t="s">
        <v>247</v>
      </c>
      <c r="Z46" t="s">
        <v>131</v>
      </c>
      <c r="AA46" s="90">
        <v>94565</v>
      </c>
      <c r="AB46" t="s">
        <v>139</v>
      </c>
      <c r="AC46" t="s">
        <v>0</v>
      </c>
      <c r="AD46" t="s">
        <v>140</v>
      </c>
    </row>
    <row r="47" spans="2:30" x14ac:dyDescent="0.25">
      <c r="B47">
        <v>104636</v>
      </c>
      <c r="C47" t="s">
        <v>248</v>
      </c>
      <c r="D47">
        <v>2016</v>
      </c>
      <c r="F47" s="89">
        <v>14202.43935714</v>
      </c>
      <c r="G47" s="89" t="s">
        <v>128</v>
      </c>
      <c r="H47" s="89"/>
      <c r="I47" s="89">
        <v>71.239357139999996</v>
      </c>
      <c r="J47" s="89">
        <v>14131.2</v>
      </c>
      <c r="K47" s="89">
        <v>0</v>
      </c>
      <c r="L47" s="89">
        <v>0</v>
      </c>
      <c r="M47" s="89">
        <v>0</v>
      </c>
      <c r="N47" s="89"/>
      <c r="O47" s="89">
        <v>0</v>
      </c>
      <c r="P47" s="89">
        <v>0</v>
      </c>
      <c r="Q47" s="89">
        <v>0</v>
      </c>
      <c r="R47" s="89">
        <v>0</v>
      </c>
      <c r="S47" s="89">
        <v>14202.43935714</v>
      </c>
      <c r="T47"/>
      <c r="U47" t="s">
        <v>129</v>
      </c>
      <c r="V47" t="s">
        <v>129</v>
      </c>
      <c r="Y47" t="s">
        <v>249</v>
      </c>
      <c r="Z47" t="s">
        <v>131</v>
      </c>
      <c r="AA47" s="90">
        <v>95236</v>
      </c>
      <c r="AB47" t="s">
        <v>241</v>
      </c>
      <c r="AC47" t="s">
        <v>0</v>
      </c>
      <c r="AD47" t="s">
        <v>140</v>
      </c>
    </row>
    <row r="48" spans="2:30" x14ac:dyDescent="0.25">
      <c r="B48">
        <v>101656</v>
      </c>
      <c r="C48" t="s">
        <v>250</v>
      </c>
      <c r="D48">
        <v>2016</v>
      </c>
      <c r="F48" s="89">
        <v>12445.84776402</v>
      </c>
      <c r="G48" s="89" t="s">
        <v>128</v>
      </c>
      <c r="H48" s="89"/>
      <c r="I48" s="89">
        <v>45.147764019999997</v>
      </c>
      <c r="J48" s="89">
        <v>12400.7</v>
      </c>
      <c r="K48" s="89">
        <v>0</v>
      </c>
      <c r="L48" s="89">
        <v>0</v>
      </c>
      <c r="M48" s="89">
        <v>0</v>
      </c>
      <c r="N48" s="89"/>
      <c r="O48" s="89">
        <v>0</v>
      </c>
      <c r="P48" s="89">
        <v>0</v>
      </c>
      <c r="Q48" s="89">
        <v>0</v>
      </c>
      <c r="R48" s="89">
        <v>0</v>
      </c>
      <c r="S48" s="89">
        <v>12445.84776402</v>
      </c>
      <c r="T48"/>
      <c r="U48" t="s">
        <v>129</v>
      </c>
      <c r="V48" t="s">
        <v>129</v>
      </c>
      <c r="Y48" t="s">
        <v>194</v>
      </c>
      <c r="Z48" t="s">
        <v>131</v>
      </c>
      <c r="AA48" s="90">
        <v>95076</v>
      </c>
      <c r="AB48" t="s">
        <v>139</v>
      </c>
      <c r="AC48" t="s">
        <v>0</v>
      </c>
      <c r="AD48" t="s">
        <v>140</v>
      </c>
    </row>
    <row r="49" spans="2:30" x14ac:dyDescent="0.25">
      <c r="B49">
        <v>104634</v>
      </c>
      <c r="C49" t="s">
        <v>251</v>
      </c>
      <c r="D49">
        <v>2016</v>
      </c>
      <c r="F49" s="89">
        <v>16998.765676405001</v>
      </c>
      <c r="G49" s="89" t="s">
        <v>128</v>
      </c>
      <c r="H49" s="89"/>
      <c r="I49" s="89">
        <v>85.265676404999994</v>
      </c>
      <c r="J49" s="89">
        <v>16913.5</v>
      </c>
      <c r="K49" s="89">
        <v>0</v>
      </c>
      <c r="L49" s="89">
        <v>0</v>
      </c>
      <c r="M49" s="89">
        <v>0</v>
      </c>
      <c r="N49" s="89"/>
      <c r="O49" s="89">
        <v>0</v>
      </c>
      <c r="P49" s="89">
        <v>0</v>
      </c>
      <c r="Q49" s="89">
        <v>0</v>
      </c>
      <c r="R49" s="89">
        <v>0</v>
      </c>
      <c r="S49" s="89">
        <v>16998.765676405001</v>
      </c>
      <c r="T49"/>
      <c r="U49" t="s">
        <v>129</v>
      </c>
      <c r="V49" t="s">
        <v>129</v>
      </c>
      <c r="Y49" t="s">
        <v>252</v>
      </c>
      <c r="Z49" t="s">
        <v>131</v>
      </c>
      <c r="AA49" s="90">
        <v>94551</v>
      </c>
      <c r="AB49" t="s">
        <v>241</v>
      </c>
      <c r="AC49" t="s">
        <v>0</v>
      </c>
      <c r="AD49" t="s">
        <v>140</v>
      </c>
    </row>
    <row r="50" spans="2:30" x14ac:dyDescent="0.25">
      <c r="B50">
        <v>104492</v>
      </c>
      <c r="C50" t="s">
        <v>253</v>
      </c>
      <c r="D50">
        <v>2016</v>
      </c>
      <c r="F50" s="89">
        <v>19679.923923999999</v>
      </c>
      <c r="G50" s="89" t="s">
        <v>128</v>
      </c>
      <c r="H50" s="89"/>
      <c r="I50" s="89">
        <v>0</v>
      </c>
      <c r="J50" s="89">
        <v>0</v>
      </c>
      <c r="K50" s="89">
        <v>33.814624000000002</v>
      </c>
      <c r="L50" s="89">
        <v>19646.1093</v>
      </c>
      <c r="M50" s="89">
        <v>0</v>
      </c>
      <c r="N50" s="89"/>
      <c r="O50" s="89">
        <v>0</v>
      </c>
      <c r="P50" s="89">
        <v>0</v>
      </c>
      <c r="Q50" s="89">
        <v>0</v>
      </c>
      <c r="R50" s="89">
        <v>0</v>
      </c>
      <c r="S50" s="89">
        <v>19679.923923999999</v>
      </c>
      <c r="T50"/>
      <c r="U50" t="s">
        <v>129</v>
      </c>
      <c r="V50" t="s">
        <v>129</v>
      </c>
      <c r="Y50" t="s">
        <v>254</v>
      </c>
      <c r="Z50" t="s">
        <v>131</v>
      </c>
      <c r="AA50" s="90">
        <v>92024</v>
      </c>
      <c r="AB50" t="s">
        <v>195</v>
      </c>
      <c r="AC50" t="s">
        <v>147</v>
      </c>
      <c r="AD50" t="s">
        <v>148</v>
      </c>
    </row>
    <row r="51" spans="2:30" x14ac:dyDescent="0.25">
      <c r="B51">
        <v>104544</v>
      </c>
      <c r="C51" t="s">
        <v>255</v>
      </c>
      <c r="D51">
        <v>2016</v>
      </c>
      <c r="F51" s="89">
        <v>173044.31352199201</v>
      </c>
      <c r="G51" s="89" t="s">
        <v>128</v>
      </c>
      <c r="H51" s="89"/>
      <c r="I51" s="89">
        <v>0</v>
      </c>
      <c r="J51" s="89">
        <v>0</v>
      </c>
      <c r="K51" s="89">
        <v>173044.31352199201</v>
      </c>
      <c r="L51" s="89">
        <v>0</v>
      </c>
      <c r="M51" s="89">
        <v>0</v>
      </c>
      <c r="N51" s="89"/>
      <c r="O51" s="89">
        <v>0</v>
      </c>
      <c r="P51" s="89">
        <v>173044.31352199201</v>
      </c>
      <c r="Q51" s="89">
        <v>0</v>
      </c>
      <c r="R51" s="89">
        <v>173044.31352199201</v>
      </c>
      <c r="S51" s="89">
        <v>0</v>
      </c>
      <c r="T51"/>
      <c r="U51" t="s">
        <v>155</v>
      </c>
      <c r="V51" t="s">
        <v>129</v>
      </c>
      <c r="W51" t="s">
        <v>197</v>
      </c>
      <c r="Y51" t="s">
        <v>256</v>
      </c>
      <c r="Z51" t="s">
        <v>257</v>
      </c>
      <c r="AA51" s="90">
        <v>19406</v>
      </c>
      <c r="AB51" t="s">
        <v>258</v>
      </c>
      <c r="AC51" t="s">
        <v>259</v>
      </c>
      <c r="AD51" t="s">
        <v>260</v>
      </c>
    </row>
    <row r="52" spans="2:30" x14ac:dyDescent="0.25">
      <c r="B52">
        <v>101179</v>
      </c>
      <c r="C52" t="s">
        <v>261</v>
      </c>
      <c r="D52">
        <v>2016</v>
      </c>
      <c r="F52" s="89">
        <v>21445.132086400001</v>
      </c>
      <c r="G52" s="89" t="s">
        <v>128</v>
      </c>
      <c r="H52" s="89"/>
      <c r="I52" s="89">
        <v>21445.132086400001</v>
      </c>
      <c r="J52" s="89">
        <v>0</v>
      </c>
      <c r="K52" s="89">
        <v>0</v>
      </c>
      <c r="L52" s="89">
        <v>0</v>
      </c>
      <c r="M52" s="89">
        <v>0</v>
      </c>
      <c r="N52" s="89"/>
      <c r="O52" s="89">
        <v>0</v>
      </c>
      <c r="P52" s="89">
        <v>0</v>
      </c>
      <c r="Q52" s="89">
        <v>0</v>
      </c>
      <c r="R52" s="89">
        <v>0</v>
      </c>
      <c r="S52" s="89">
        <v>21445.132086400001</v>
      </c>
      <c r="T52"/>
      <c r="U52" t="s">
        <v>129</v>
      </c>
      <c r="V52" t="s">
        <v>129</v>
      </c>
      <c r="Y52" t="s">
        <v>262</v>
      </c>
      <c r="Z52" t="s">
        <v>131</v>
      </c>
      <c r="AA52" s="90">
        <v>91320</v>
      </c>
      <c r="AB52" t="s">
        <v>263</v>
      </c>
      <c r="AC52" t="s">
        <v>0</v>
      </c>
      <c r="AD52" t="s">
        <v>143</v>
      </c>
    </row>
    <row r="53" spans="2:30" x14ac:dyDescent="0.25">
      <c r="B53">
        <v>101666</v>
      </c>
      <c r="C53" t="s">
        <v>264</v>
      </c>
      <c r="D53">
        <v>2016</v>
      </c>
      <c r="F53" s="89">
        <v>99551.727742539995</v>
      </c>
      <c r="G53" s="89" t="s">
        <v>128</v>
      </c>
      <c r="H53" s="89"/>
      <c r="I53" s="89">
        <v>1794.9277425400001</v>
      </c>
      <c r="J53" s="89">
        <v>97756.800000000003</v>
      </c>
      <c r="K53" s="89">
        <v>0</v>
      </c>
      <c r="L53" s="89">
        <v>0</v>
      </c>
      <c r="M53" s="89">
        <v>0</v>
      </c>
      <c r="N53" s="89"/>
      <c r="O53" s="89">
        <v>0</v>
      </c>
      <c r="P53" s="89">
        <v>0</v>
      </c>
      <c r="Q53" s="89">
        <v>0</v>
      </c>
      <c r="R53" s="89">
        <v>0</v>
      </c>
      <c r="S53" s="89">
        <v>99551.727742539995</v>
      </c>
      <c r="T53"/>
      <c r="U53" t="s">
        <v>155</v>
      </c>
      <c r="V53" t="s">
        <v>129</v>
      </c>
      <c r="W53" t="s">
        <v>232</v>
      </c>
      <c r="Y53" t="s">
        <v>265</v>
      </c>
      <c r="Z53" t="s">
        <v>131</v>
      </c>
      <c r="AA53" s="90">
        <v>93610</v>
      </c>
      <c r="AB53" t="s">
        <v>139</v>
      </c>
      <c r="AC53" t="s">
        <v>0</v>
      </c>
      <c r="AD53" t="s">
        <v>140</v>
      </c>
    </row>
    <row r="54" spans="2:30" x14ac:dyDescent="0.25">
      <c r="B54">
        <v>104487</v>
      </c>
      <c r="C54" t="s">
        <v>266</v>
      </c>
      <c r="D54">
        <v>2016</v>
      </c>
      <c r="F54" s="89">
        <v>17137.648467800002</v>
      </c>
      <c r="G54" s="89" t="s">
        <v>128</v>
      </c>
      <c r="H54" s="89"/>
      <c r="I54" s="89">
        <v>1463.3484678</v>
      </c>
      <c r="J54" s="89">
        <v>15674.3</v>
      </c>
      <c r="K54" s="89">
        <v>0</v>
      </c>
      <c r="L54" s="89">
        <v>0</v>
      </c>
      <c r="M54" s="89">
        <v>0</v>
      </c>
      <c r="N54" s="89"/>
      <c r="O54" s="89">
        <v>0</v>
      </c>
      <c r="P54" s="89">
        <v>0</v>
      </c>
      <c r="Q54" s="89">
        <v>0</v>
      </c>
      <c r="R54" s="89">
        <v>0</v>
      </c>
      <c r="S54" s="89">
        <v>17137.648467800002</v>
      </c>
      <c r="T54"/>
      <c r="U54" t="s">
        <v>129</v>
      </c>
      <c r="V54" t="s">
        <v>129</v>
      </c>
      <c r="Y54" t="s">
        <v>267</v>
      </c>
      <c r="Z54" t="s">
        <v>131</v>
      </c>
      <c r="AA54" s="90">
        <v>95654</v>
      </c>
      <c r="AB54" t="s">
        <v>268</v>
      </c>
      <c r="AC54" t="s">
        <v>0</v>
      </c>
      <c r="AD54" t="s">
        <v>143</v>
      </c>
    </row>
    <row r="55" spans="2:30" x14ac:dyDescent="0.25">
      <c r="B55">
        <v>100943</v>
      </c>
      <c r="C55" t="s">
        <v>269</v>
      </c>
      <c r="D55">
        <v>2016</v>
      </c>
      <c r="F55" s="89">
        <v>17525.649653311801</v>
      </c>
      <c r="G55" s="89" t="s">
        <v>128</v>
      </c>
      <c r="H55" s="89"/>
      <c r="I55" s="89">
        <v>15637.249653311799</v>
      </c>
      <c r="J55" s="89">
        <v>1888.4</v>
      </c>
      <c r="K55" s="89">
        <v>0</v>
      </c>
      <c r="L55" s="89">
        <v>0</v>
      </c>
      <c r="M55" s="89">
        <v>0</v>
      </c>
      <c r="N55" s="89"/>
      <c r="O55" s="89">
        <v>15637.249653311799</v>
      </c>
      <c r="P55" s="89">
        <v>0</v>
      </c>
      <c r="Q55" s="89">
        <v>0</v>
      </c>
      <c r="R55" s="89">
        <v>15637.249653311799</v>
      </c>
      <c r="S55" s="89">
        <v>1888.4</v>
      </c>
      <c r="T55"/>
      <c r="U55" t="s">
        <v>155</v>
      </c>
      <c r="V55" t="s">
        <v>155</v>
      </c>
      <c r="W55" t="s">
        <v>156</v>
      </c>
      <c r="Y55" t="s">
        <v>270</v>
      </c>
      <c r="Z55" t="s">
        <v>131</v>
      </c>
      <c r="AA55" s="90">
        <v>94534</v>
      </c>
      <c r="AB55" t="s">
        <v>271</v>
      </c>
      <c r="AC55" t="s">
        <v>0</v>
      </c>
      <c r="AD55" t="s">
        <v>143</v>
      </c>
    </row>
    <row r="56" spans="2:30" x14ac:dyDescent="0.25">
      <c r="B56">
        <v>101473</v>
      </c>
      <c r="C56" t="s">
        <v>272</v>
      </c>
      <c r="D56">
        <v>2016</v>
      </c>
      <c r="F56" s="89">
        <v>44641.308376091598</v>
      </c>
      <c r="G56" s="89" t="s">
        <v>128</v>
      </c>
      <c r="H56" s="89"/>
      <c r="I56" s="89">
        <v>39331.608376091601</v>
      </c>
      <c r="J56" s="89">
        <v>5309.7</v>
      </c>
      <c r="K56" s="89">
        <v>0</v>
      </c>
      <c r="L56" s="89">
        <v>0</v>
      </c>
      <c r="M56" s="89">
        <v>0</v>
      </c>
      <c r="N56" s="89"/>
      <c r="O56" s="89">
        <v>39331.608376091601</v>
      </c>
      <c r="P56" s="89">
        <v>0</v>
      </c>
      <c r="Q56" s="89">
        <v>0</v>
      </c>
      <c r="R56" s="89">
        <v>39331.608376091601</v>
      </c>
      <c r="S56" s="89">
        <v>5309.7</v>
      </c>
      <c r="T56"/>
      <c r="U56" t="s">
        <v>155</v>
      </c>
      <c r="V56" t="s">
        <v>155</v>
      </c>
      <c r="W56" t="s">
        <v>156</v>
      </c>
      <c r="Y56" t="s">
        <v>273</v>
      </c>
      <c r="Z56" t="s">
        <v>131</v>
      </c>
      <c r="AA56" s="90">
        <v>91406</v>
      </c>
      <c r="AB56" t="s">
        <v>271</v>
      </c>
      <c r="AC56" t="s">
        <v>0</v>
      </c>
      <c r="AD56" t="s">
        <v>143</v>
      </c>
    </row>
    <row r="57" spans="2:30" x14ac:dyDescent="0.25">
      <c r="B57">
        <v>104578</v>
      </c>
      <c r="C57" t="s">
        <v>274</v>
      </c>
      <c r="D57">
        <v>2016</v>
      </c>
      <c r="F57" s="89">
        <v>0</v>
      </c>
      <c r="G57" s="89" t="s">
        <v>128</v>
      </c>
      <c r="H57" s="89"/>
      <c r="I57" s="89">
        <v>0</v>
      </c>
      <c r="J57" s="89">
        <v>0</v>
      </c>
      <c r="K57" s="89">
        <v>0</v>
      </c>
      <c r="L57" s="89">
        <v>0</v>
      </c>
      <c r="M57" s="89">
        <v>0</v>
      </c>
      <c r="N57" s="89"/>
      <c r="O57" s="89">
        <v>0</v>
      </c>
      <c r="P57" s="89">
        <v>0</v>
      </c>
      <c r="Q57" s="89">
        <v>0</v>
      </c>
      <c r="R57" s="89">
        <v>0</v>
      </c>
      <c r="S57" s="89">
        <v>0</v>
      </c>
      <c r="T57"/>
      <c r="U57" t="s">
        <v>129</v>
      </c>
      <c r="V57" t="s">
        <v>129</v>
      </c>
      <c r="Y57" t="s">
        <v>275</v>
      </c>
      <c r="Z57" t="s">
        <v>131</v>
      </c>
      <c r="AA57" s="90">
        <v>92539</v>
      </c>
      <c r="AB57" t="s">
        <v>158</v>
      </c>
      <c r="AC57" t="s">
        <v>136</v>
      </c>
      <c r="AD57" t="s">
        <v>137</v>
      </c>
    </row>
    <row r="58" spans="2:30" x14ac:dyDescent="0.25">
      <c r="B58">
        <v>104003</v>
      </c>
      <c r="C58" t="s">
        <v>276</v>
      </c>
      <c r="D58">
        <v>2016</v>
      </c>
      <c r="F58" s="89">
        <v>383457.95054200001</v>
      </c>
      <c r="G58" s="89" t="s">
        <v>128</v>
      </c>
      <c r="H58" s="89"/>
      <c r="I58" s="89">
        <v>0</v>
      </c>
      <c r="J58" s="89">
        <v>0</v>
      </c>
      <c r="K58" s="89">
        <v>361439.97834199999</v>
      </c>
      <c r="L58" s="89">
        <v>22017.9722</v>
      </c>
      <c r="M58" s="89">
        <v>0</v>
      </c>
      <c r="N58" s="89"/>
      <c r="O58" s="89">
        <v>0</v>
      </c>
      <c r="P58" s="89">
        <v>361439.97834199999</v>
      </c>
      <c r="Q58" s="89">
        <v>0</v>
      </c>
      <c r="R58" s="89">
        <v>361439.97834199999</v>
      </c>
      <c r="S58" s="89">
        <v>22017.9722</v>
      </c>
      <c r="T58"/>
      <c r="U58" t="s">
        <v>155</v>
      </c>
      <c r="V58" t="s">
        <v>129</v>
      </c>
      <c r="W58" t="s">
        <v>277</v>
      </c>
      <c r="Y58" t="s">
        <v>278</v>
      </c>
      <c r="Z58" t="s">
        <v>279</v>
      </c>
      <c r="AA58" s="90">
        <v>63105</v>
      </c>
      <c r="AB58" t="s">
        <v>227</v>
      </c>
      <c r="AC58" t="s">
        <v>147</v>
      </c>
      <c r="AD58" t="s">
        <v>148</v>
      </c>
    </row>
    <row r="59" spans="2:30" x14ac:dyDescent="0.25">
      <c r="B59">
        <v>100234</v>
      </c>
      <c r="C59" t="s">
        <v>280</v>
      </c>
      <c r="D59">
        <v>2016</v>
      </c>
      <c r="F59" s="89">
        <v>164608.663199954</v>
      </c>
      <c r="G59" s="89" t="s">
        <v>128</v>
      </c>
      <c r="H59" s="89"/>
      <c r="I59" s="89">
        <v>164608.663199954</v>
      </c>
      <c r="J59" s="89">
        <v>0</v>
      </c>
      <c r="K59" s="89">
        <v>0</v>
      </c>
      <c r="L59" s="89">
        <v>0</v>
      </c>
      <c r="M59" s="89">
        <v>0</v>
      </c>
      <c r="N59" s="89"/>
      <c r="O59" s="89">
        <v>164078.157271462</v>
      </c>
      <c r="P59" s="89">
        <v>0</v>
      </c>
      <c r="Q59" s="89">
        <v>0</v>
      </c>
      <c r="R59" s="89">
        <v>164078.157271462</v>
      </c>
      <c r="S59" s="89">
        <v>530.50592849231998</v>
      </c>
      <c r="T59"/>
      <c r="U59" t="s">
        <v>155</v>
      </c>
      <c r="V59" t="s">
        <v>129</v>
      </c>
      <c r="W59" t="s">
        <v>277</v>
      </c>
      <c r="Y59" t="s">
        <v>281</v>
      </c>
      <c r="Z59" t="s">
        <v>131</v>
      </c>
      <c r="AA59" s="90">
        <v>92135</v>
      </c>
      <c r="AB59" t="s">
        <v>132</v>
      </c>
      <c r="AC59" t="s">
        <v>0</v>
      </c>
      <c r="AD59" t="s">
        <v>133</v>
      </c>
    </row>
    <row r="60" spans="2:30" x14ac:dyDescent="0.25">
      <c r="B60">
        <v>100229</v>
      </c>
      <c r="C60" t="s">
        <v>282</v>
      </c>
      <c r="D60">
        <v>2016</v>
      </c>
      <c r="F60" s="89">
        <v>95310.043322566402</v>
      </c>
      <c r="G60" s="89" t="s">
        <v>128</v>
      </c>
      <c r="H60" s="89"/>
      <c r="I60" s="89">
        <v>95310.043322566402</v>
      </c>
      <c r="J60" s="89">
        <v>0</v>
      </c>
      <c r="K60" s="89">
        <v>0</v>
      </c>
      <c r="L60" s="89">
        <v>0</v>
      </c>
      <c r="M60" s="89">
        <v>0</v>
      </c>
      <c r="N60" s="89"/>
      <c r="O60" s="89">
        <v>95310.043322566402</v>
      </c>
      <c r="P60" s="89">
        <v>0</v>
      </c>
      <c r="Q60" s="89">
        <v>0</v>
      </c>
      <c r="R60" s="89">
        <v>95310.043322566402</v>
      </c>
      <c r="S60" s="89">
        <v>0</v>
      </c>
      <c r="T60"/>
      <c r="U60" t="s">
        <v>155</v>
      </c>
      <c r="V60" t="s">
        <v>129</v>
      </c>
      <c r="W60" t="s">
        <v>277</v>
      </c>
      <c r="Y60" t="s">
        <v>283</v>
      </c>
      <c r="Z60" t="s">
        <v>131</v>
      </c>
      <c r="AA60" s="90">
        <v>92140</v>
      </c>
      <c r="AB60" t="s">
        <v>132</v>
      </c>
      <c r="AC60" t="s">
        <v>0</v>
      </c>
      <c r="AD60" t="s">
        <v>133</v>
      </c>
    </row>
    <row r="61" spans="2:30" x14ac:dyDescent="0.25">
      <c r="B61">
        <v>101390</v>
      </c>
      <c r="C61" t="s">
        <v>284</v>
      </c>
      <c r="D61">
        <v>2016</v>
      </c>
      <c r="F61" s="89">
        <v>199199.97686760401</v>
      </c>
      <c r="G61" s="89" t="s">
        <v>128</v>
      </c>
      <c r="H61" s="89"/>
      <c r="I61" s="89">
        <v>199199.97686760401</v>
      </c>
      <c r="J61" s="89">
        <v>0</v>
      </c>
      <c r="K61" s="89">
        <v>0</v>
      </c>
      <c r="L61" s="89">
        <v>0</v>
      </c>
      <c r="M61" s="89">
        <v>0</v>
      </c>
      <c r="N61" s="89"/>
      <c r="O61" s="89">
        <v>199199.97686760401</v>
      </c>
      <c r="P61" s="89">
        <v>0</v>
      </c>
      <c r="Q61" s="89">
        <v>0</v>
      </c>
      <c r="R61" s="89">
        <v>199199.97686760401</v>
      </c>
      <c r="S61" s="89">
        <v>0</v>
      </c>
      <c r="T61"/>
      <c r="U61" t="s">
        <v>155</v>
      </c>
      <c r="V61" t="s">
        <v>129</v>
      </c>
      <c r="W61" t="s">
        <v>277</v>
      </c>
      <c r="Y61" t="s">
        <v>283</v>
      </c>
      <c r="Z61" t="s">
        <v>131</v>
      </c>
      <c r="AA61" s="90">
        <v>92136</v>
      </c>
      <c r="AB61" t="s">
        <v>132</v>
      </c>
      <c r="AC61" t="s">
        <v>0</v>
      </c>
      <c r="AD61" t="s">
        <v>133</v>
      </c>
    </row>
    <row r="62" spans="2:30" x14ac:dyDescent="0.25">
      <c r="B62">
        <v>104042</v>
      </c>
      <c r="C62" t="s">
        <v>285</v>
      </c>
      <c r="D62">
        <v>2016</v>
      </c>
      <c r="F62" s="89">
        <v>314960.19904499903</v>
      </c>
      <c r="G62" s="89" t="s">
        <v>128</v>
      </c>
      <c r="H62" s="89"/>
      <c r="I62" s="89">
        <v>0</v>
      </c>
      <c r="J62" s="89">
        <v>0</v>
      </c>
      <c r="K62" s="89">
        <v>4038.11504500001</v>
      </c>
      <c r="L62" s="89">
        <v>310922.08399999898</v>
      </c>
      <c r="M62" s="89">
        <v>0</v>
      </c>
      <c r="N62" s="89"/>
      <c r="O62" s="89">
        <v>0</v>
      </c>
      <c r="P62" s="89">
        <v>0</v>
      </c>
      <c r="Q62" s="89">
        <v>0</v>
      </c>
      <c r="R62" s="89">
        <v>0</v>
      </c>
      <c r="S62" s="89">
        <v>314960.19904499903</v>
      </c>
      <c r="T62"/>
      <c r="U62" t="s">
        <v>155</v>
      </c>
      <c r="V62" t="s">
        <v>129</v>
      </c>
      <c r="W62" t="s">
        <v>232</v>
      </c>
      <c r="Y62" t="s">
        <v>286</v>
      </c>
      <c r="Z62" t="s">
        <v>287</v>
      </c>
      <c r="AA62" s="90">
        <v>62526</v>
      </c>
      <c r="AB62" t="s">
        <v>166</v>
      </c>
      <c r="AC62" t="s">
        <v>147</v>
      </c>
      <c r="AD62" t="s">
        <v>148</v>
      </c>
    </row>
    <row r="63" spans="2:30" x14ac:dyDescent="0.25">
      <c r="B63">
        <v>104673</v>
      </c>
      <c r="C63" t="s">
        <v>288</v>
      </c>
      <c r="D63">
        <v>2016</v>
      </c>
      <c r="F63" s="89">
        <v>11620.698192</v>
      </c>
      <c r="G63" s="89" t="s">
        <v>128</v>
      </c>
      <c r="H63" s="89"/>
      <c r="I63" s="89">
        <v>11620.698192</v>
      </c>
      <c r="J63" s="89">
        <v>0</v>
      </c>
      <c r="K63" s="89">
        <v>0</v>
      </c>
      <c r="L63" s="89">
        <v>0</v>
      </c>
      <c r="M63" s="89">
        <v>0</v>
      </c>
      <c r="N63" s="89"/>
      <c r="O63" s="89">
        <v>0</v>
      </c>
      <c r="P63" s="89">
        <v>0</v>
      </c>
      <c r="Q63" s="89">
        <v>0</v>
      </c>
      <c r="R63" s="89">
        <v>0</v>
      </c>
      <c r="S63" s="89">
        <v>11620.698192</v>
      </c>
      <c r="T63"/>
      <c r="U63" t="s">
        <v>129</v>
      </c>
      <c r="V63" t="s">
        <v>129</v>
      </c>
      <c r="Y63" t="s">
        <v>289</v>
      </c>
      <c r="Z63" t="s">
        <v>131</v>
      </c>
      <c r="AA63" s="90">
        <v>93033</v>
      </c>
      <c r="AB63" t="s">
        <v>290</v>
      </c>
      <c r="AC63" t="s">
        <v>0</v>
      </c>
      <c r="AD63" t="s">
        <v>143</v>
      </c>
    </row>
    <row r="64" spans="2:30" x14ac:dyDescent="0.25">
      <c r="B64">
        <v>101342</v>
      </c>
      <c r="C64" t="s">
        <v>291</v>
      </c>
      <c r="D64">
        <v>2016</v>
      </c>
      <c r="F64" s="89">
        <v>79660.621503999995</v>
      </c>
      <c r="G64" s="89" t="s">
        <v>128</v>
      </c>
      <c r="H64" s="89"/>
      <c r="I64" s="89">
        <v>79660.621503999995</v>
      </c>
      <c r="J64" s="89">
        <v>0</v>
      </c>
      <c r="K64" s="89">
        <v>0</v>
      </c>
      <c r="L64" s="89">
        <v>0</v>
      </c>
      <c r="M64" s="89">
        <v>0</v>
      </c>
      <c r="N64" s="89"/>
      <c r="O64" s="89">
        <v>79660.621503999995</v>
      </c>
      <c r="P64" s="89">
        <v>0</v>
      </c>
      <c r="Q64" s="89">
        <v>0</v>
      </c>
      <c r="R64" s="89">
        <v>79660.621503999995</v>
      </c>
      <c r="S64" s="89">
        <v>0</v>
      </c>
      <c r="T64"/>
      <c r="U64" t="s">
        <v>155</v>
      </c>
      <c r="V64" t="s">
        <v>155</v>
      </c>
      <c r="W64" t="s">
        <v>292</v>
      </c>
      <c r="Y64" t="s">
        <v>293</v>
      </c>
      <c r="Z64" t="s">
        <v>131</v>
      </c>
      <c r="AA64" s="90">
        <v>93637</v>
      </c>
      <c r="AB64" t="s">
        <v>150</v>
      </c>
      <c r="AC64" t="s">
        <v>151</v>
      </c>
      <c r="AD64" t="s">
        <v>143</v>
      </c>
    </row>
    <row r="65" spans="2:30" x14ac:dyDescent="0.25">
      <c r="B65">
        <v>2098</v>
      </c>
      <c r="C65" t="s">
        <v>294</v>
      </c>
      <c r="D65">
        <v>2016</v>
      </c>
      <c r="F65" s="89">
        <v>56494.818843485198</v>
      </c>
      <c r="G65" s="89" t="s">
        <v>128</v>
      </c>
      <c r="H65" s="89"/>
      <c r="I65" s="89">
        <v>0</v>
      </c>
      <c r="J65" s="89">
        <v>0</v>
      </c>
      <c r="K65" s="89">
        <v>0</v>
      </c>
      <c r="L65" s="89">
        <v>0</v>
      </c>
      <c r="M65" s="89">
        <v>56494.818843485198</v>
      </c>
      <c r="N65" s="89"/>
      <c r="O65" s="89">
        <v>0</v>
      </c>
      <c r="P65" s="89">
        <v>0</v>
      </c>
      <c r="Q65" s="89">
        <v>56494.818843485198</v>
      </c>
      <c r="R65" s="89">
        <v>56494.818843485198</v>
      </c>
      <c r="S65" s="89">
        <v>0</v>
      </c>
      <c r="T65"/>
      <c r="U65" t="s">
        <v>155</v>
      </c>
      <c r="V65" t="s">
        <v>129</v>
      </c>
      <c r="W65" t="s">
        <v>277</v>
      </c>
      <c r="Y65" t="s">
        <v>295</v>
      </c>
      <c r="Z65" t="s">
        <v>145</v>
      </c>
      <c r="AA65" s="90">
        <v>85606</v>
      </c>
      <c r="AB65" t="s">
        <v>132</v>
      </c>
      <c r="AC65" t="s">
        <v>136</v>
      </c>
      <c r="AD65" t="s">
        <v>137</v>
      </c>
    </row>
    <row r="66" spans="2:30" x14ac:dyDescent="0.25">
      <c r="B66">
        <v>104131</v>
      </c>
      <c r="C66" t="s">
        <v>296</v>
      </c>
      <c r="D66">
        <v>2016</v>
      </c>
      <c r="F66" s="89">
        <v>251420.67256864399</v>
      </c>
      <c r="G66" s="89" t="s">
        <v>128</v>
      </c>
      <c r="H66" s="89"/>
      <c r="I66" s="89">
        <v>0</v>
      </c>
      <c r="J66" s="89">
        <v>0</v>
      </c>
      <c r="K66" s="89">
        <v>0</v>
      </c>
      <c r="L66" s="89">
        <v>0</v>
      </c>
      <c r="M66" s="89">
        <v>251420.67256864399</v>
      </c>
      <c r="N66" s="89"/>
      <c r="O66" s="89">
        <v>0</v>
      </c>
      <c r="P66" s="89">
        <v>0</v>
      </c>
      <c r="Q66" s="89">
        <v>227559.46559419099</v>
      </c>
      <c r="R66" s="89">
        <v>227559.46559419099</v>
      </c>
      <c r="S66" s="89">
        <v>23861.206974453002</v>
      </c>
      <c r="T66"/>
      <c r="U66" t="s">
        <v>155</v>
      </c>
      <c r="V66" t="s">
        <v>129</v>
      </c>
      <c r="W66" t="s">
        <v>297</v>
      </c>
      <c r="Y66" t="s">
        <v>298</v>
      </c>
      <c r="Z66" t="s">
        <v>145</v>
      </c>
      <c r="AA66" s="90">
        <v>85004</v>
      </c>
      <c r="AB66" t="s">
        <v>158</v>
      </c>
      <c r="AC66" t="s">
        <v>136</v>
      </c>
      <c r="AD66" t="s">
        <v>137</v>
      </c>
    </row>
    <row r="67" spans="2:30" x14ac:dyDescent="0.25">
      <c r="B67">
        <v>2292</v>
      </c>
      <c r="C67" t="s">
        <v>299</v>
      </c>
      <c r="D67">
        <v>2016</v>
      </c>
      <c r="F67" s="89">
        <v>151751.55662897899</v>
      </c>
      <c r="G67" s="89" t="s">
        <v>128</v>
      </c>
      <c r="H67" s="89"/>
      <c r="I67" s="89">
        <v>0</v>
      </c>
      <c r="J67" s="89">
        <v>0</v>
      </c>
      <c r="K67" s="89">
        <v>0</v>
      </c>
      <c r="L67" s="89">
        <v>0</v>
      </c>
      <c r="M67" s="89">
        <v>151751.55662897899</v>
      </c>
      <c r="N67" s="89"/>
      <c r="O67" s="89">
        <v>0</v>
      </c>
      <c r="P67" s="89">
        <v>0</v>
      </c>
      <c r="Q67" s="89">
        <v>89206.955296837405</v>
      </c>
      <c r="R67" s="89">
        <v>89206.955296837405</v>
      </c>
      <c r="S67" s="89">
        <v>62544.601332141603</v>
      </c>
      <c r="T67"/>
      <c r="U67" t="s">
        <v>155</v>
      </c>
      <c r="V67" t="s">
        <v>129</v>
      </c>
      <c r="W67" t="s">
        <v>156</v>
      </c>
      <c r="Y67" t="s">
        <v>300</v>
      </c>
      <c r="Z67" t="s">
        <v>301</v>
      </c>
      <c r="AA67" s="90">
        <v>90120</v>
      </c>
      <c r="AB67" t="s">
        <v>139</v>
      </c>
      <c r="AC67" t="s">
        <v>136</v>
      </c>
      <c r="AD67" t="s">
        <v>137</v>
      </c>
    </row>
    <row r="68" spans="2:30" x14ac:dyDescent="0.25">
      <c r="B68">
        <v>101696</v>
      </c>
      <c r="C68" t="s">
        <v>302</v>
      </c>
      <c r="D68">
        <v>2016</v>
      </c>
      <c r="F68" s="89">
        <v>15391.802722529201</v>
      </c>
      <c r="G68" s="89" t="s">
        <v>128</v>
      </c>
      <c r="H68" s="89"/>
      <c r="I68" s="89">
        <v>15391.802722529201</v>
      </c>
      <c r="J68" s="89">
        <v>0</v>
      </c>
      <c r="K68" s="89">
        <v>0</v>
      </c>
      <c r="L68" s="89">
        <v>0</v>
      </c>
      <c r="M68" s="89">
        <v>0</v>
      </c>
      <c r="N68" s="89"/>
      <c r="O68" s="89">
        <v>0</v>
      </c>
      <c r="P68" s="89">
        <v>0</v>
      </c>
      <c r="Q68" s="89">
        <v>0</v>
      </c>
      <c r="R68" s="89">
        <v>0</v>
      </c>
      <c r="S68" s="89">
        <v>15391.802722529201</v>
      </c>
      <c r="T68"/>
      <c r="U68" t="s">
        <v>129</v>
      </c>
      <c r="V68" t="s">
        <v>129</v>
      </c>
      <c r="Y68" t="s">
        <v>303</v>
      </c>
      <c r="Z68" t="s">
        <v>131</v>
      </c>
      <c r="AA68" s="90">
        <v>93204</v>
      </c>
      <c r="AB68" t="s">
        <v>304</v>
      </c>
      <c r="AC68" t="s">
        <v>0</v>
      </c>
      <c r="AD68" t="s">
        <v>143</v>
      </c>
    </row>
    <row r="69" spans="2:30" x14ac:dyDescent="0.25">
      <c r="B69">
        <v>104677</v>
      </c>
      <c r="C69" t="s">
        <v>305</v>
      </c>
      <c r="D69">
        <v>2016</v>
      </c>
      <c r="F69" s="89">
        <v>0</v>
      </c>
      <c r="G69" s="89" t="s">
        <v>128</v>
      </c>
      <c r="H69" s="89"/>
      <c r="I69" s="89">
        <v>0</v>
      </c>
      <c r="J69" s="89">
        <v>0</v>
      </c>
      <c r="K69" s="89">
        <v>0</v>
      </c>
      <c r="L69" s="89">
        <v>0</v>
      </c>
      <c r="M69" s="89">
        <v>0</v>
      </c>
      <c r="N69" s="89"/>
      <c r="O69" s="89">
        <v>0</v>
      </c>
      <c r="P69" s="89">
        <v>0</v>
      </c>
      <c r="Q69" s="89">
        <v>0</v>
      </c>
      <c r="R69" s="89">
        <v>0</v>
      </c>
      <c r="S69" s="89">
        <v>0</v>
      </c>
      <c r="T69"/>
      <c r="U69" t="s">
        <v>155</v>
      </c>
      <c r="V69" t="s">
        <v>129</v>
      </c>
      <c r="W69" t="s">
        <v>168</v>
      </c>
      <c r="Y69" t="s">
        <v>306</v>
      </c>
      <c r="Z69" t="s">
        <v>307</v>
      </c>
      <c r="AA69" s="90">
        <v>99220</v>
      </c>
      <c r="AB69" t="s">
        <v>308</v>
      </c>
      <c r="AC69" t="s">
        <v>136</v>
      </c>
      <c r="AD69" t="s">
        <v>137</v>
      </c>
    </row>
    <row r="70" spans="2:30" x14ac:dyDescent="0.25">
      <c r="B70">
        <v>104379</v>
      </c>
      <c r="C70" t="s">
        <v>309</v>
      </c>
      <c r="D70">
        <v>2016</v>
      </c>
      <c r="F70" s="89">
        <v>12828.3993168</v>
      </c>
      <c r="G70" s="89" t="s">
        <v>128</v>
      </c>
      <c r="H70" s="89"/>
      <c r="I70" s="89">
        <v>12828.3993168</v>
      </c>
      <c r="J70" s="89">
        <v>0</v>
      </c>
      <c r="K70" s="89">
        <v>0</v>
      </c>
      <c r="L70" s="89">
        <v>0</v>
      </c>
      <c r="M70" s="89">
        <v>0</v>
      </c>
      <c r="N70" s="89"/>
      <c r="O70" s="89">
        <v>0</v>
      </c>
      <c r="P70" s="89">
        <v>0</v>
      </c>
      <c r="Q70" s="89">
        <v>0</v>
      </c>
      <c r="R70" s="89">
        <v>0</v>
      </c>
      <c r="S70" s="89">
        <v>12828.3993168</v>
      </c>
      <c r="T70"/>
      <c r="U70" t="s">
        <v>129</v>
      </c>
      <c r="V70" t="s">
        <v>129</v>
      </c>
      <c r="Y70" t="s">
        <v>293</v>
      </c>
      <c r="Z70" t="s">
        <v>131</v>
      </c>
      <c r="AA70" s="90">
        <v>93638</v>
      </c>
      <c r="AB70" t="s">
        <v>310</v>
      </c>
      <c r="AC70" t="s">
        <v>0</v>
      </c>
      <c r="AD70" t="s">
        <v>143</v>
      </c>
    </row>
    <row r="71" spans="2:30" x14ac:dyDescent="0.25">
      <c r="B71">
        <v>3024</v>
      </c>
      <c r="C71" t="s">
        <v>311</v>
      </c>
      <c r="D71">
        <v>2016</v>
      </c>
      <c r="F71" s="89">
        <v>188658.613318624</v>
      </c>
      <c r="G71" s="89" t="s">
        <v>128</v>
      </c>
      <c r="H71" s="89"/>
      <c r="I71" s="89">
        <v>0</v>
      </c>
      <c r="J71" s="89">
        <v>0</v>
      </c>
      <c r="K71" s="89">
        <v>0</v>
      </c>
      <c r="L71" s="89">
        <v>0</v>
      </c>
      <c r="M71" s="89">
        <v>188658.613318624</v>
      </c>
      <c r="N71" s="89"/>
      <c r="O71" s="89">
        <v>0</v>
      </c>
      <c r="P71" s="89">
        <v>0</v>
      </c>
      <c r="Q71" s="89">
        <v>188658.613318624</v>
      </c>
      <c r="R71" s="89">
        <v>188658.613318624</v>
      </c>
      <c r="S71" s="89">
        <v>0</v>
      </c>
      <c r="T71"/>
      <c r="U71" t="s">
        <v>155</v>
      </c>
      <c r="V71" t="s">
        <v>129</v>
      </c>
      <c r="W71" t="s">
        <v>197</v>
      </c>
      <c r="Y71" t="s">
        <v>312</v>
      </c>
      <c r="Z71" t="s">
        <v>131</v>
      </c>
      <c r="AA71" s="90">
        <v>91702</v>
      </c>
      <c r="AB71" t="s">
        <v>158</v>
      </c>
      <c r="AC71" t="s">
        <v>136</v>
      </c>
      <c r="AD71" t="s">
        <v>137</v>
      </c>
    </row>
    <row r="72" spans="2:30" x14ac:dyDescent="0.25">
      <c r="B72">
        <v>100897</v>
      </c>
      <c r="C72" t="s">
        <v>313</v>
      </c>
      <c r="D72">
        <v>2016</v>
      </c>
      <c r="F72" s="89">
        <v>1688.90813312</v>
      </c>
      <c r="G72" s="89" t="s">
        <v>128</v>
      </c>
      <c r="H72" s="89"/>
      <c r="I72" s="89">
        <v>1688.90813312</v>
      </c>
      <c r="J72" s="89">
        <v>0</v>
      </c>
      <c r="K72" s="89">
        <v>0</v>
      </c>
      <c r="L72" s="89">
        <v>0</v>
      </c>
      <c r="M72" s="89">
        <v>0</v>
      </c>
      <c r="N72" s="89"/>
      <c r="O72" s="89">
        <v>1688.90813312</v>
      </c>
      <c r="P72" s="89">
        <v>0</v>
      </c>
      <c r="Q72" s="89">
        <v>0</v>
      </c>
      <c r="R72" s="89">
        <v>1688.90813312</v>
      </c>
      <c r="S72" s="89">
        <v>0</v>
      </c>
      <c r="T72"/>
      <c r="U72" t="s">
        <v>155</v>
      </c>
      <c r="V72" t="s">
        <v>129</v>
      </c>
      <c r="W72" t="s">
        <v>277</v>
      </c>
      <c r="Y72" t="s">
        <v>178</v>
      </c>
      <c r="Z72" t="s">
        <v>131</v>
      </c>
      <c r="AA72" s="90">
        <v>93308</v>
      </c>
      <c r="AB72" t="s">
        <v>132</v>
      </c>
      <c r="AC72" t="s">
        <v>0</v>
      </c>
      <c r="AD72" t="s">
        <v>133</v>
      </c>
    </row>
    <row r="73" spans="2:30" x14ac:dyDescent="0.25">
      <c r="B73">
        <v>104334</v>
      </c>
      <c r="C73" t="s">
        <v>314</v>
      </c>
      <c r="D73">
        <v>2016</v>
      </c>
      <c r="F73" s="89">
        <v>19974.591881600001</v>
      </c>
      <c r="G73" s="89" t="s">
        <v>128</v>
      </c>
      <c r="H73" s="89"/>
      <c r="I73" s="89">
        <v>19974.591881600001</v>
      </c>
      <c r="J73" s="89">
        <v>0</v>
      </c>
      <c r="K73" s="89">
        <v>0</v>
      </c>
      <c r="L73" s="89">
        <v>0</v>
      </c>
      <c r="M73" s="89">
        <v>0</v>
      </c>
      <c r="N73" s="89"/>
      <c r="O73" s="89">
        <v>0</v>
      </c>
      <c r="P73" s="89">
        <v>0</v>
      </c>
      <c r="Q73" s="89">
        <v>0</v>
      </c>
      <c r="R73" s="89">
        <v>0</v>
      </c>
      <c r="S73" s="89">
        <v>19974.591881600001</v>
      </c>
      <c r="T73"/>
      <c r="U73" t="s">
        <v>129</v>
      </c>
      <c r="V73" t="s">
        <v>129</v>
      </c>
      <c r="Y73" t="s">
        <v>315</v>
      </c>
      <c r="Z73" t="s">
        <v>131</v>
      </c>
      <c r="AA73" s="90">
        <v>93630</v>
      </c>
      <c r="AB73" t="s">
        <v>316</v>
      </c>
      <c r="AC73" t="s">
        <v>0</v>
      </c>
      <c r="AD73" t="s">
        <v>143</v>
      </c>
    </row>
    <row r="74" spans="2:30" x14ac:dyDescent="0.25">
      <c r="B74">
        <v>104621</v>
      </c>
      <c r="C74" t="s">
        <v>317</v>
      </c>
      <c r="D74">
        <v>2016</v>
      </c>
      <c r="F74" s="89">
        <v>12488.446620799999</v>
      </c>
      <c r="G74" s="89" t="s">
        <v>128</v>
      </c>
      <c r="H74" s="89"/>
      <c r="I74" s="89">
        <v>12488.446620799999</v>
      </c>
      <c r="J74" s="89">
        <v>0</v>
      </c>
      <c r="K74" s="89">
        <v>0</v>
      </c>
      <c r="L74" s="89">
        <v>0</v>
      </c>
      <c r="M74" s="89">
        <v>0</v>
      </c>
      <c r="N74" s="89"/>
      <c r="O74" s="89">
        <v>0</v>
      </c>
      <c r="P74" s="89">
        <v>0</v>
      </c>
      <c r="Q74" s="89">
        <v>0</v>
      </c>
      <c r="R74" s="89">
        <v>0</v>
      </c>
      <c r="S74" s="89">
        <v>12488.446620799999</v>
      </c>
      <c r="T74"/>
      <c r="U74" t="s">
        <v>129</v>
      </c>
      <c r="V74" t="s">
        <v>129</v>
      </c>
      <c r="Y74" t="s">
        <v>318</v>
      </c>
      <c r="Z74" t="s">
        <v>131</v>
      </c>
      <c r="AA74" s="90">
        <v>90058</v>
      </c>
      <c r="AB74" t="s">
        <v>316</v>
      </c>
      <c r="AC74" t="s">
        <v>0</v>
      </c>
      <c r="AD74" t="s">
        <v>143</v>
      </c>
    </row>
    <row r="75" spans="2:30" x14ac:dyDescent="0.25">
      <c r="B75">
        <v>104542</v>
      </c>
      <c r="C75" t="s">
        <v>319</v>
      </c>
      <c r="D75">
        <v>2016</v>
      </c>
      <c r="F75" s="89">
        <v>10005.012276624</v>
      </c>
      <c r="G75" s="89" t="s">
        <v>128</v>
      </c>
      <c r="H75" s="89"/>
      <c r="I75" s="89">
        <v>10005.012276624</v>
      </c>
      <c r="J75" s="89">
        <v>0</v>
      </c>
      <c r="K75" s="89">
        <v>0</v>
      </c>
      <c r="L75" s="89">
        <v>0</v>
      </c>
      <c r="M75" s="89">
        <v>0</v>
      </c>
      <c r="N75" s="89"/>
      <c r="O75" s="89">
        <v>0</v>
      </c>
      <c r="P75" s="89">
        <v>0</v>
      </c>
      <c r="Q75" s="89">
        <v>0</v>
      </c>
      <c r="R75" s="89">
        <v>0</v>
      </c>
      <c r="S75" s="89">
        <v>10005.012276624</v>
      </c>
      <c r="T75"/>
      <c r="U75" t="s">
        <v>129</v>
      </c>
      <c r="V75" t="s">
        <v>129</v>
      </c>
      <c r="Y75" t="s">
        <v>320</v>
      </c>
      <c r="Z75" t="s">
        <v>131</v>
      </c>
      <c r="AA75" s="90">
        <v>90039</v>
      </c>
      <c r="AB75" t="s">
        <v>263</v>
      </c>
      <c r="AC75" t="s">
        <v>0</v>
      </c>
      <c r="AD75" t="s">
        <v>143</v>
      </c>
    </row>
    <row r="76" spans="2:30" x14ac:dyDescent="0.25">
      <c r="B76">
        <v>104165</v>
      </c>
      <c r="C76" t="s">
        <v>321</v>
      </c>
      <c r="D76">
        <v>2016</v>
      </c>
      <c r="F76" s="89">
        <v>14999.73936</v>
      </c>
      <c r="G76" s="89" t="s">
        <v>128</v>
      </c>
      <c r="H76" s="89"/>
      <c r="I76" s="89">
        <v>14999.73936</v>
      </c>
      <c r="J76" s="89">
        <v>0</v>
      </c>
      <c r="K76" s="89">
        <v>0</v>
      </c>
      <c r="L76" s="89">
        <v>0</v>
      </c>
      <c r="M76" s="89">
        <v>0</v>
      </c>
      <c r="N76" s="89"/>
      <c r="O76" s="89">
        <v>0</v>
      </c>
      <c r="P76" s="89">
        <v>0</v>
      </c>
      <c r="Q76" s="89">
        <v>0</v>
      </c>
      <c r="R76" s="89">
        <v>0</v>
      </c>
      <c r="S76" s="89">
        <v>14999.73936</v>
      </c>
      <c r="T76"/>
      <c r="U76" t="s">
        <v>129</v>
      </c>
      <c r="V76" t="s">
        <v>129</v>
      </c>
      <c r="Y76" t="s">
        <v>322</v>
      </c>
      <c r="Z76" t="s">
        <v>131</v>
      </c>
      <c r="AA76" s="90">
        <v>94710</v>
      </c>
      <c r="AB76" t="s">
        <v>263</v>
      </c>
      <c r="AC76" t="s">
        <v>0</v>
      </c>
      <c r="AD76" t="s">
        <v>143</v>
      </c>
    </row>
    <row r="77" spans="2:30" x14ac:dyDescent="0.25">
      <c r="B77">
        <v>100890</v>
      </c>
      <c r="C77" t="s">
        <v>323</v>
      </c>
      <c r="D77">
        <v>2016</v>
      </c>
      <c r="F77" s="89">
        <v>3991.0144</v>
      </c>
      <c r="G77" s="89" t="s">
        <v>128</v>
      </c>
      <c r="H77" s="89"/>
      <c r="I77" s="89">
        <v>3991.0144</v>
      </c>
      <c r="J77" s="89">
        <v>0</v>
      </c>
      <c r="K77" s="89">
        <v>0</v>
      </c>
      <c r="L77" s="89">
        <v>0</v>
      </c>
      <c r="M77" s="89">
        <v>0</v>
      </c>
      <c r="N77" s="89"/>
      <c r="O77" s="89">
        <v>3991.0144</v>
      </c>
      <c r="P77" s="89">
        <v>0</v>
      </c>
      <c r="Q77" s="89">
        <v>0</v>
      </c>
      <c r="R77" s="89">
        <v>3991.0144</v>
      </c>
      <c r="S77" s="89">
        <v>0</v>
      </c>
      <c r="T77"/>
      <c r="U77" t="s">
        <v>155</v>
      </c>
      <c r="V77" t="s">
        <v>129</v>
      </c>
      <c r="W77" t="s">
        <v>277</v>
      </c>
      <c r="Y77" t="s">
        <v>178</v>
      </c>
      <c r="Z77" t="s">
        <v>131</v>
      </c>
      <c r="AA77" s="90">
        <v>93306</v>
      </c>
      <c r="AB77" t="s">
        <v>132</v>
      </c>
      <c r="AC77" t="s">
        <v>0</v>
      </c>
      <c r="AD77" t="s">
        <v>133</v>
      </c>
    </row>
    <row r="78" spans="2:30" x14ac:dyDescent="0.25">
      <c r="B78">
        <v>3000</v>
      </c>
      <c r="C78" t="s">
        <v>324</v>
      </c>
      <c r="D78">
        <v>2016</v>
      </c>
      <c r="F78" s="89">
        <v>0</v>
      </c>
      <c r="G78" s="89" t="s">
        <v>128</v>
      </c>
      <c r="H78" s="89"/>
      <c r="I78" s="89">
        <v>0</v>
      </c>
      <c r="J78" s="89">
        <v>0</v>
      </c>
      <c r="K78" s="89">
        <v>0</v>
      </c>
      <c r="L78" s="89">
        <v>0</v>
      </c>
      <c r="M78" s="89">
        <v>0</v>
      </c>
      <c r="N78" s="89"/>
      <c r="O78" s="89">
        <v>0</v>
      </c>
      <c r="P78" s="89">
        <v>0</v>
      </c>
      <c r="Q78" s="89">
        <v>0</v>
      </c>
      <c r="R78" s="89">
        <v>0</v>
      </c>
      <c r="S78" s="89">
        <v>0</v>
      </c>
      <c r="T78"/>
      <c r="U78" t="s">
        <v>129</v>
      </c>
      <c r="V78" t="s">
        <v>129</v>
      </c>
      <c r="Y78" t="s">
        <v>325</v>
      </c>
      <c r="Z78" t="s">
        <v>131</v>
      </c>
      <c r="AA78" s="90">
        <v>92315</v>
      </c>
      <c r="AB78" t="s">
        <v>158</v>
      </c>
      <c r="AC78" t="s">
        <v>136</v>
      </c>
      <c r="AD78" t="s">
        <v>137</v>
      </c>
    </row>
    <row r="79" spans="2:30" x14ac:dyDescent="0.25">
      <c r="B79">
        <v>104624</v>
      </c>
      <c r="C79" t="s">
        <v>326</v>
      </c>
      <c r="D79">
        <v>2016</v>
      </c>
      <c r="F79" s="89">
        <v>145076.08966495999</v>
      </c>
      <c r="G79" s="89" t="s">
        <v>128</v>
      </c>
      <c r="H79" s="89"/>
      <c r="I79" s="89">
        <v>0</v>
      </c>
      <c r="J79" s="89">
        <v>0</v>
      </c>
      <c r="K79" s="89">
        <v>145076.08966495999</v>
      </c>
      <c r="L79" s="89">
        <v>0</v>
      </c>
      <c r="M79" s="89">
        <v>0</v>
      </c>
      <c r="N79" s="89"/>
      <c r="O79" s="89">
        <v>0</v>
      </c>
      <c r="P79" s="89">
        <v>0</v>
      </c>
      <c r="Q79" s="89">
        <v>0</v>
      </c>
      <c r="R79" s="89">
        <v>0</v>
      </c>
      <c r="S79" s="89">
        <v>145076.08966495999</v>
      </c>
      <c r="T79"/>
      <c r="U79" t="s">
        <v>155</v>
      </c>
      <c r="V79" t="s">
        <v>129</v>
      </c>
      <c r="W79" t="s">
        <v>277</v>
      </c>
      <c r="Y79" t="s">
        <v>169</v>
      </c>
      <c r="Z79" t="s">
        <v>131</v>
      </c>
      <c r="AA79" s="90">
        <v>93251</v>
      </c>
      <c r="AB79" t="s">
        <v>327</v>
      </c>
      <c r="AC79" t="s">
        <v>259</v>
      </c>
      <c r="AD79" t="s">
        <v>260</v>
      </c>
    </row>
    <row r="80" spans="2:30" x14ac:dyDescent="0.25">
      <c r="B80">
        <v>104623</v>
      </c>
      <c r="C80" t="s">
        <v>328</v>
      </c>
      <c r="D80">
        <v>2016</v>
      </c>
      <c r="F80" s="89">
        <v>45008.067557714698</v>
      </c>
      <c r="G80" s="89" t="s">
        <v>128</v>
      </c>
      <c r="H80" s="89"/>
      <c r="I80" s="89">
        <v>0</v>
      </c>
      <c r="J80" s="89">
        <v>0</v>
      </c>
      <c r="K80" s="89">
        <v>45008.067557714698</v>
      </c>
      <c r="L80" s="89">
        <v>0</v>
      </c>
      <c r="M80" s="89">
        <v>0</v>
      </c>
      <c r="N80" s="89"/>
      <c r="O80" s="89">
        <v>0</v>
      </c>
      <c r="P80" s="89">
        <v>0</v>
      </c>
      <c r="Q80" s="89">
        <v>0</v>
      </c>
      <c r="R80" s="89">
        <v>0</v>
      </c>
      <c r="S80" s="89">
        <v>45008.067557714698</v>
      </c>
      <c r="T80"/>
      <c r="U80" t="s">
        <v>155</v>
      </c>
      <c r="V80" t="s">
        <v>129</v>
      </c>
      <c r="W80" t="s">
        <v>277</v>
      </c>
      <c r="Y80" t="s">
        <v>169</v>
      </c>
      <c r="Z80" t="s">
        <v>131</v>
      </c>
      <c r="AA80" s="90">
        <v>93251</v>
      </c>
      <c r="AB80" t="s">
        <v>327</v>
      </c>
      <c r="AC80" t="s">
        <v>259</v>
      </c>
      <c r="AD80" t="s">
        <v>260</v>
      </c>
    </row>
    <row r="81" spans="2:30" x14ac:dyDescent="0.25">
      <c r="B81">
        <v>104094</v>
      </c>
      <c r="C81" t="s">
        <v>329</v>
      </c>
      <c r="D81">
        <v>2016</v>
      </c>
      <c r="F81" s="89">
        <v>1575979.55313149</v>
      </c>
      <c r="G81" s="89" t="s">
        <v>128</v>
      </c>
      <c r="H81" s="89"/>
      <c r="I81" s="89">
        <v>1575979.55313149</v>
      </c>
      <c r="J81" s="89">
        <v>0</v>
      </c>
      <c r="K81" s="89">
        <v>0</v>
      </c>
      <c r="L81" s="89">
        <v>0</v>
      </c>
      <c r="M81" s="89">
        <v>0</v>
      </c>
      <c r="N81" s="89"/>
      <c r="O81" s="89">
        <v>1574055.0906839999</v>
      </c>
      <c r="P81" s="89">
        <v>0</v>
      </c>
      <c r="Q81" s="89">
        <v>0</v>
      </c>
      <c r="R81" s="89">
        <v>1574055.0906839999</v>
      </c>
      <c r="S81" s="89">
        <v>1924.4624474942</v>
      </c>
      <c r="T81"/>
      <c r="U81" t="s">
        <v>155</v>
      </c>
      <c r="V81" t="s">
        <v>155</v>
      </c>
      <c r="W81" t="s">
        <v>277</v>
      </c>
      <c r="Y81" t="s">
        <v>330</v>
      </c>
      <c r="Z81" t="s">
        <v>131</v>
      </c>
      <c r="AA81" s="90">
        <v>93268</v>
      </c>
      <c r="AB81" t="s">
        <v>170</v>
      </c>
      <c r="AC81" t="s">
        <v>175</v>
      </c>
      <c r="AD81" t="s">
        <v>176</v>
      </c>
    </row>
    <row r="82" spans="2:30" x14ac:dyDescent="0.25">
      <c r="B82">
        <v>3026</v>
      </c>
      <c r="C82" t="s">
        <v>331</v>
      </c>
      <c r="D82">
        <v>2016</v>
      </c>
      <c r="F82" s="89">
        <v>0</v>
      </c>
      <c r="G82" s="89" t="s">
        <v>128</v>
      </c>
      <c r="H82" s="89"/>
      <c r="I82" s="89">
        <v>0</v>
      </c>
      <c r="J82" s="89">
        <v>0</v>
      </c>
      <c r="K82" s="89">
        <v>0</v>
      </c>
      <c r="L82" s="89">
        <v>0</v>
      </c>
      <c r="M82" s="89">
        <v>0</v>
      </c>
      <c r="N82" s="89"/>
      <c r="O82" s="89">
        <v>0</v>
      </c>
      <c r="P82" s="89">
        <v>0</v>
      </c>
      <c r="Q82" s="89">
        <v>0</v>
      </c>
      <c r="R82" s="89">
        <v>0</v>
      </c>
      <c r="S82" s="89">
        <v>0</v>
      </c>
      <c r="T82"/>
      <c r="U82" t="s">
        <v>129</v>
      </c>
      <c r="V82" t="s">
        <v>129</v>
      </c>
      <c r="Y82" t="s">
        <v>332</v>
      </c>
      <c r="Z82" t="s">
        <v>131</v>
      </c>
      <c r="AA82" s="90">
        <v>95917</v>
      </c>
      <c r="AB82" t="s">
        <v>158</v>
      </c>
      <c r="AC82" t="s">
        <v>136</v>
      </c>
      <c r="AD82" t="s">
        <v>137</v>
      </c>
    </row>
    <row r="83" spans="2:30" x14ac:dyDescent="0.25">
      <c r="B83">
        <v>100120</v>
      </c>
      <c r="C83" t="s">
        <v>333</v>
      </c>
      <c r="D83">
        <v>2016</v>
      </c>
      <c r="F83" s="89">
        <v>7771.6832352000001</v>
      </c>
      <c r="G83" s="89" t="s">
        <v>128</v>
      </c>
      <c r="H83" s="89"/>
      <c r="I83" s="89">
        <v>7771.6832352000001</v>
      </c>
      <c r="J83" s="89">
        <v>0</v>
      </c>
      <c r="K83" s="89">
        <v>0</v>
      </c>
      <c r="L83" s="89">
        <v>0</v>
      </c>
      <c r="M83" s="89">
        <v>0</v>
      </c>
      <c r="N83" s="89"/>
      <c r="O83" s="89">
        <v>0</v>
      </c>
      <c r="P83" s="89">
        <v>0</v>
      </c>
      <c r="Q83" s="89">
        <v>0</v>
      </c>
      <c r="R83" s="89">
        <v>0</v>
      </c>
      <c r="S83" s="89">
        <v>7771.6832352000001</v>
      </c>
      <c r="T83"/>
      <c r="U83" t="s">
        <v>129</v>
      </c>
      <c r="V83" t="s">
        <v>129</v>
      </c>
      <c r="Y83" t="s">
        <v>334</v>
      </c>
      <c r="Z83" t="s">
        <v>131</v>
      </c>
      <c r="AA83" s="90">
        <v>90639</v>
      </c>
      <c r="AB83" t="s">
        <v>335</v>
      </c>
      <c r="AC83" t="s">
        <v>0</v>
      </c>
      <c r="AD83" t="s">
        <v>143</v>
      </c>
    </row>
    <row r="84" spans="2:30" x14ac:dyDescent="0.25">
      <c r="B84">
        <v>100053</v>
      </c>
      <c r="C84" t="s">
        <v>336</v>
      </c>
      <c r="D84">
        <v>2016</v>
      </c>
      <c r="F84" s="89">
        <v>612.80426911172003</v>
      </c>
      <c r="G84" s="89" t="s">
        <v>128</v>
      </c>
      <c r="H84" s="89"/>
      <c r="I84" s="89">
        <v>124.20426911172</v>
      </c>
      <c r="J84" s="89">
        <v>488.6</v>
      </c>
      <c r="K84" s="89">
        <v>0</v>
      </c>
      <c r="L84" s="89">
        <v>0</v>
      </c>
      <c r="M84" s="89">
        <v>0</v>
      </c>
      <c r="N84" s="89"/>
      <c r="O84" s="89">
        <v>0</v>
      </c>
      <c r="P84" s="89">
        <v>0</v>
      </c>
      <c r="Q84" s="89">
        <v>0</v>
      </c>
      <c r="R84" s="89">
        <v>0</v>
      </c>
      <c r="S84" s="89">
        <v>612.80426911172003</v>
      </c>
      <c r="T84"/>
      <c r="U84" t="s">
        <v>155</v>
      </c>
      <c r="V84" t="s">
        <v>129</v>
      </c>
      <c r="W84" t="s">
        <v>337</v>
      </c>
      <c r="Y84" t="s">
        <v>338</v>
      </c>
      <c r="Z84" t="s">
        <v>131</v>
      </c>
      <c r="AA84" s="90">
        <v>95525</v>
      </c>
      <c r="AB84" t="s">
        <v>241</v>
      </c>
      <c r="AC84" t="s">
        <v>0</v>
      </c>
      <c r="AD84" t="s">
        <v>140</v>
      </c>
    </row>
    <row r="85" spans="2:30" x14ac:dyDescent="0.25">
      <c r="B85">
        <v>100342</v>
      </c>
      <c r="C85" t="s">
        <v>339</v>
      </c>
      <c r="D85">
        <v>2016</v>
      </c>
      <c r="F85" s="89">
        <v>345031.96891599998</v>
      </c>
      <c r="G85" s="89" t="s">
        <v>128</v>
      </c>
      <c r="H85" s="89"/>
      <c r="I85" s="89">
        <v>345031.96891599998</v>
      </c>
      <c r="J85" s="89">
        <v>0</v>
      </c>
      <c r="K85" s="89">
        <v>0</v>
      </c>
      <c r="L85" s="89">
        <v>0</v>
      </c>
      <c r="M85" s="89">
        <v>0</v>
      </c>
      <c r="N85" s="89"/>
      <c r="O85" s="89">
        <v>345031.96891599998</v>
      </c>
      <c r="P85" s="89">
        <v>0</v>
      </c>
      <c r="Q85" s="89">
        <v>0</v>
      </c>
      <c r="R85" s="89">
        <v>345031.96891599998</v>
      </c>
      <c r="S85" s="89">
        <v>0</v>
      </c>
      <c r="T85"/>
      <c r="U85" t="s">
        <v>155</v>
      </c>
      <c r="V85" t="s">
        <v>129</v>
      </c>
      <c r="W85" t="s">
        <v>235</v>
      </c>
      <c r="Y85" t="s">
        <v>340</v>
      </c>
      <c r="Z85" t="s">
        <v>131</v>
      </c>
      <c r="AA85" s="90">
        <v>92225</v>
      </c>
      <c r="AB85" t="s">
        <v>132</v>
      </c>
      <c r="AC85" t="s">
        <v>1</v>
      </c>
      <c r="AD85" t="s">
        <v>140</v>
      </c>
    </row>
    <row r="86" spans="2:30" x14ac:dyDescent="0.25">
      <c r="B86">
        <v>104054</v>
      </c>
      <c r="C86" t="s">
        <v>341</v>
      </c>
      <c r="D86">
        <v>2016</v>
      </c>
      <c r="F86" s="89">
        <v>369945.74911999999</v>
      </c>
      <c r="G86" s="89" t="s">
        <v>128</v>
      </c>
      <c r="H86" s="89"/>
      <c r="I86" s="89">
        <v>0</v>
      </c>
      <c r="J86" s="89">
        <v>0</v>
      </c>
      <c r="K86" s="89">
        <v>369945.74911999999</v>
      </c>
      <c r="L86" s="89">
        <v>0</v>
      </c>
      <c r="M86" s="89">
        <v>0</v>
      </c>
      <c r="N86" s="89"/>
      <c r="O86" s="89">
        <v>0</v>
      </c>
      <c r="P86" s="89">
        <v>369945.74911999999</v>
      </c>
      <c r="Q86" s="89">
        <v>0</v>
      </c>
      <c r="R86" s="89">
        <v>369945.74911999999</v>
      </c>
      <c r="S86" s="89">
        <v>0</v>
      </c>
      <c r="T86"/>
      <c r="U86" t="s">
        <v>155</v>
      </c>
      <c r="V86" t="s">
        <v>129</v>
      </c>
      <c r="W86" t="s">
        <v>232</v>
      </c>
      <c r="Y86" t="s">
        <v>342</v>
      </c>
      <c r="Z86" t="s">
        <v>131</v>
      </c>
      <c r="AA86" s="90">
        <v>92311</v>
      </c>
      <c r="AB86" t="s">
        <v>343</v>
      </c>
      <c r="AC86" t="s">
        <v>147</v>
      </c>
      <c r="AD86" t="s">
        <v>148</v>
      </c>
    </row>
    <row r="87" spans="2:30" x14ac:dyDescent="0.25">
      <c r="B87">
        <v>104064</v>
      </c>
      <c r="C87" t="s">
        <v>344</v>
      </c>
      <c r="D87">
        <v>2016</v>
      </c>
      <c r="F87" s="89">
        <v>195788.53209600001</v>
      </c>
      <c r="G87" s="89" t="s">
        <v>128</v>
      </c>
      <c r="H87" s="89"/>
      <c r="I87" s="89">
        <v>0</v>
      </c>
      <c r="J87" s="89">
        <v>0</v>
      </c>
      <c r="K87" s="89">
        <v>195788.53209600001</v>
      </c>
      <c r="L87" s="89">
        <v>0</v>
      </c>
      <c r="M87" s="89">
        <v>0</v>
      </c>
      <c r="N87" s="89"/>
      <c r="O87" s="89">
        <v>0</v>
      </c>
      <c r="P87" s="89">
        <v>195788.53209600001</v>
      </c>
      <c r="Q87" s="89">
        <v>0</v>
      </c>
      <c r="R87" s="89">
        <v>195788.53209600001</v>
      </c>
      <c r="S87" s="89">
        <v>0</v>
      </c>
      <c r="T87"/>
      <c r="U87" t="s">
        <v>155</v>
      </c>
      <c r="V87" t="s">
        <v>129</v>
      </c>
      <c r="W87" t="s">
        <v>232</v>
      </c>
      <c r="Y87" t="s">
        <v>320</v>
      </c>
      <c r="Z87" t="s">
        <v>131</v>
      </c>
      <c r="AA87" s="90">
        <v>90040</v>
      </c>
      <c r="AB87" t="s">
        <v>343</v>
      </c>
      <c r="AC87" t="s">
        <v>147</v>
      </c>
      <c r="AD87" t="s">
        <v>148</v>
      </c>
    </row>
    <row r="88" spans="2:30" x14ac:dyDescent="0.25">
      <c r="B88">
        <v>104065</v>
      </c>
      <c r="C88" t="s">
        <v>345</v>
      </c>
      <c r="D88">
        <v>2016</v>
      </c>
      <c r="F88" s="89">
        <v>134399.98553599999</v>
      </c>
      <c r="G88" s="89" t="s">
        <v>128</v>
      </c>
      <c r="H88" s="89"/>
      <c r="I88" s="89">
        <v>0</v>
      </c>
      <c r="J88" s="89">
        <v>0</v>
      </c>
      <c r="K88" s="89">
        <v>134399.98553599999</v>
      </c>
      <c r="L88" s="89">
        <v>0</v>
      </c>
      <c r="M88" s="89">
        <v>0</v>
      </c>
      <c r="N88" s="89"/>
      <c r="O88" s="89">
        <v>0</v>
      </c>
      <c r="P88" s="89">
        <v>134399.98553599999</v>
      </c>
      <c r="Q88" s="89">
        <v>0</v>
      </c>
      <c r="R88" s="89">
        <v>134399.98553599999</v>
      </c>
      <c r="S88" s="89">
        <v>0</v>
      </c>
      <c r="T88"/>
      <c r="U88" t="s">
        <v>155</v>
      </c>
      <c r="V88" t="s">
        <v>129</v>
      </c>
      <c r="W88" t="s">
        <v>232</v>
      </c>
      <c r="Y88" t="s">
        <v>346</v>
      </c>
      <c r="Z88" t="s">
        <v>131</v>
      </c>
      <c r="AA88" s="90">
        <v>94801</v>
      </c>
      <c r="AB88" t="s">
        <v>343</v>
      </c>
      <c r="AC88" t="s">
        <v>147</v>
      </c>
      <c r="AD88" t="s">
        <v>148</v>
      </c>
    </row>
    <row r="89" spans="2:30" x14ac:dyDescent="0.25">
      <c r="B89">
        <v>4000</v>
      </c>
      <c r="C89" t="s">
        <v>347</v>
      </c>
      <c r="D89">
        <v>2016</v>
      </c>
      <c r="F89" s="89">
        <v>0</v>
      </c>
      <c r="G89" s="89" t="s">
        <v>128</v>
      </c>
      <c r="H89" s="89"/>
      <c r="I89" s="89">
        <v>0</v>
      </c>
      <c r="J89" s="89">
        <v>0</v>
      </c>
      <c r="K89" s="89">
        <v>0</v>
      </c>
      <c r="L89" s="89">
        <v>0</v>
      </c>
      <c r="M89" s="89">
        <v>0</v>
      </c>
      <c r="N89" s="89"/>
      <c r="O89" s="89">
        <v>0</v>
      </c>
      <c r="P89" s="89">
        <v>0</v>
      </c>
      <c r="Q89" s="89">
        <v>0</v>
      </c>
      <c r="R89" s="89">
        <v>0</v>
      </c>
      <c r="S89" s="89">
        <v>0</v>
      </c>
      <c r="T89"/>
      <c r="U89" t="s">
        <v>155</v>
      </c>
      <c r="V89" t="s">
        <v>129</v>
      </c>
      <c r="W89" t="s">
        <v>215</v>
      </c>
      <c r="Y89" t="s">
        <v>300</v>
      </c>
      <c r="Z89" t="s">
        <v>301</v>
      </c>
      <c r="AA89" s="90">
        <v>97232</v>
      </c>
      <c r="AB89" t="s">
        <v>308</v>
      </c>
      <c r="AC89" t="s">
        <v>136</v>
      </c>
      <c r="AD89" t="s">
        <v>137</v>
      </c>
    </row>
    <row r="90" spans="2:30" x14ac:dyDescent="0.25">
      <c r="B90">
        <v>2044</v>
      </c>
      <c r="C90" t="s">
        <v>348</v>
      </c>
      <c r="D90">
        <v>2016</v>
      </c>
      <c r="F90" s="89">
        <v>2247.2716500000001</v>
      </c>
      <c r="G90" s="89" t="s">
        <v>128</v>
      </c>
      <c r="H90" s="89"/>
      <c r="I90" s="89">
        <v>0</v>
      </c>
      <c r="J90" s="89">
        <v>0</v>
      </c>
      <c r="K90" s="89">
        <v>0</v>
      </c>
      <c r="L90" s="89">
        <v>0</v>
      </c>
      <c r="M90" s="89">
        <v>2247.2716500000001</v>
      </c>
      <c r="N90" s="89"/>
      <c r="O90" s="89">
        <v>0</v>
      </c>
      <c r="P90" s="89">
        <v>0</v>
      </c>
      <c r="Q90" s="89">
        <v>2247.2716500000001</v>
      </c>
      <c r="R90" s="89">
        <v>2247.2716500000001</v>
      </c>
      <c r="S90" s="89">
        <v>0</v>
      </c>
      <c r="T90"/>
      <c r="U90" t="s">
        <v>155</v>
      </c>
      <c r="V90" t="s">
        <v>129</v>
      </c>
      <c r="W90" t="s">
        <v>215</v>
      </c>
      <c r="Y90" t="s">
        <v>300</v>
      </c>
      <c r="Z90" t="s">
        <v>301</v>
      </c>
      <c r="AA90" s="90">
        <v>97222</v>
      </c>
      <c r="AB90" t="s">
        <v>308</v>
      </c>
      <c r="AC90" t="s">
        <v>136</v>
      </c>
      <c r="AD90" t="s">
        <v>137</v>
      </c>
    </row>
    <row r="91" spans="2:30" x14ac:dyDescent="0.25">
      <c r="B91">
        <v>104692</v>
      </c>
      <c r="C91" t="s">
        <v>349</v>
      </c>
      <c r="D91">
        <v>2016</v>
      </c>
      <c r="F91" s="89">
        <v>0</v>
      </c>
      <c r="G91" s="89" t="s">
        <v>128</v>
      </c>
      <c r="H91" s="89"/>
      <c r="I91" s="89">
        <v>0</v>
      </c>
      <c r="J91" s="89">
        <v>0</v>
      </c>
      <c r="K91" s="89">
        <v>0</v>
      </c>
      <c r="L91" s="89">
        <v>0</v>
      </c>
      <c r="M91" s="89">
        <v>0</v>
      </c>
      <c r="N91" s="89"/>
      <c r="O91" s="89">
        <v>0</v>
      </c>
      <c r="P91" s="89">
        <v>0</v>
      </c>
      <c r="Q91" s="89">
        <v>0</v>
      </c>
      <c r="R91" s="89">
        <v>0</v>
      </c>
      <c r="S91" s="89">
        <v>0</v>
      </c>
      <c r="T91"/>
      <c r="U91" t="s">
        <v>155</v>
      </c>
      <c r="V91" t="s">
        <v>129</v>
      </c>
      <c r="W91" t="s">
        <v>222</v>
      </c>
      <c r="Y91" t="s">
        <v>350</v>
      </c>
      <c r="Z91" t="s">
        <v>351</v>
      </c>
      <c r="AA91" s="90">
        <v>2110</v>
      </c>
      <c r="AB91" t="s">
        <v>158</v>
      </c>
      <c r="AC91" t="s">
        <v>136</v>
      </c>
      <c r="AD91" t="s">
        <v>137</v>
      </c>
    </row>
    <row r="92" spans="2:30" x14ac:dyDescent="0.25">
      <c r="B92">
        <v>101676</v>
      </c>
      <c r="C92" t="s">
        <v>352</v>
      </c>
      <c r="D92">
        <v>2016</v>
      </c>
      <c r="F92" s="89">
        <v>0</v>
      </c>
      <c r="G92" s="89" t="s">
        <v>128</v>
      </c>
      <c r="H92" s="89"/>
      <c r="I92" s="89">
        <v>0</v>
      </c>
      <c r="J92" s="89">
        <v>0</v>
      </c>
      <c r="K92" s="89">
        <v>0</v>
      </c>
      <c r="L92" s="89">
        <v>0</v>
      </c>
      <c r="M92" s="89">
        <v>0</v>
      </c>
      <c r="N92" s="89"/>
      <c r="O92" s="89">
        <v>0</v>
      </c>
      <c r="P92" s="89">
        <v>0</v>
      </c>
      <c r="Q92" s="89">
        <v>0</v>
      </c>
      <c r="R92" s="89">
        <v>0</v>
      </c>
      <c r="S92" s="89">
        <v>0</v>
      </c>
      <c r="T92"/>
      <c r="U92" t="s">
        <v>129</v>
      </c>
      <c r="V92" t="s">
        <v>129</v>
      </c>
      <c r="Y92" t="s">
        <v>353</v>
      </c>
      <c r="Z92" t="s">
        <v>131</v>
      </c>
      <c r="AA92" s="90">
        <v>95426</v>
      </c>
      <c r="AB92" t="s">
        <v>139</v>
      </c>
      <c r="AC92" t="s">
        <v>0</v>
      </c>
      <c r="AD92" t="s">
        <v>140</v>
      </c>
    </row>
    <row r="93" spans="2:30" x14ac:dyDescent="0.25">
      <c r="B93">
        <v>104680</v>
      </c>
      <c r="C93" t="s">
        <v>354</v>
      </c>
      <c r="D93">
        <v>2016</v>
      </c>
      <c r="F93" s="89">
        <v>58342.409589930299</v>
      </c>
      <c r="G93" s="89" t="s">
        <v>128</v>
      </c>
      <c r="H93" s="89"/>
      <c r="I93" s="89">
        <v>292.64572637097001</v>
      </c>
      <c r="J93" s="89">
        <v>58049.763864</v>
      </c>
      <c r="K93" s="89">
        <v>0</v>
      </c>
      <c r="L93" s="89">
        <v>0</v>
      </c>
      <c r="M93" s="89">
        <v>0</v>
      </c>
      <c r="N93" s="89"/>
      <c r="O93" s="89">
        <v>0</v>
      </c>
      <c r="P93" s="89">
        <v>0</v>
      </c>
      <c r="Q93" s="89">
        <v>0</v>
      </c>
      <c r="R93" s="89">
        <v>0</v>
      </c>
      <c r="S93" s="89">
        <v>58342.409589930299</v>
      </c>
      <c r="T93"/>
      <c r="U93" t="s">
        <v>155</v>
      </c>
      <c r="V93" t="s">
        <v>129</v>
      </c>
      <c r="W93" t="s">
        <v>204</v>
      </c>
      <c r="Y93" t="s">
        <v>220</v>
      </c>
      <c r="Z93" t="s">
        <v>131</v>
      </c>
      <c r="AA93" s="90">
        <v>92602</v>
      </c>
      <c r="AB93" t="s">
        <v>355</v>
      </c>
      <c r="AC93" t="s">
        <v>0</v>
      </c>
      <c r="AD93" t="s">
        <v>140</v>
      </c>
    </row>
    <row r="94" spans="2:30" x14ac:dyDescent="0.25">
      <c r="B94">
        <v>104074</v>
      </c>
      <c r="C94" t="s">
        <v>356</v>
      </c>
      <c r="D94">
        <v>2016</v>
      </c>
      <c r="F94" s="89">
        <v>387616.97787399997</v>
      </c>
      <c r="G94" s="89" t="s">
        <v>128</v>
      </c>
      <c r="H94" s="89"/>
      <c r="I94" s="89">
        <v>0</v>
      </c>
      <c r="J94" s="89">
        <v>0</v>
      </c>
      <c r="K94" s="89">
        <v>370452.57227399998</v>
      </c>
      <c r="L94" s="89">
        <v>17164.405599999998</v>
      </c>
      <c r="M94" s="89">
        <v>0</v>
      </c>
      <c r="N94" s="89"/>
      <c r="O94" s="89">
        <v>0</v>
      </c>
      <c r="P94" s="89">
        <v>370452.57227399998</v>
      </c>
      <c r="Q94" s="89">
        <v>0</v>
      </c>
      <c r="R94" s="89">
        <v>370452.57227399998</v>
      </c>
      <c r="S94" s="89">
        <v>17164.405599999998</v>
      </c>
      <c r="T94"/>
      <c r="U94" t="s">
        <v>155</v>
      </c>
      <c r="V94" t="s">
        <v>129</v>
      </c>
      <c r="W94" t="s">
        <v>277</v>
      </c>
      <c r="Y94" t="s">
        <v>357</v>
      </c>
      <c r="Z94" t="s">
        <v>131</v>
      </c>
      <c r="AA94" s="90">
        <v>95350</v>
      </c>
      <c r="AB94" t="s">
        <v>146</v>
      </c>
      <c r="AC94" t="s">
        <v>147</v>
      </c>
      <c r="AD94" t="s">
        <v>148</v>
      </c>
    </row>
    <row r="95" spans="2:30" x14ac:dyDescent="0.25">
      <c r="B95">
        <v>2113</v>
      </c>
      <c r="C95" t="s">
        <v>358</v>
      </c>
      <c r="D95">
        <v>2016</v>
      </c>
      <c r="F95" s="89">
        <v>211664.585062</v>
      </c>
      <c r="G95" s="89" t="s">
        <v>128</v>
      </c>
      <c r="H95" s="89"/>
      <c r="I95" s="89">
        <v>0</v>
      </c>
      <c r="J95" s="89">
        <v>0</v>
      </c>
      <c r="K95" s="89">
        <v>0</v>
      </c>
      <c r="L95" s="89">
        <v>0</v>
      </c>
      <c r="M95" s="89">
        <v>211664.585062</v>
      </c>
      <c r="N95" s="89"/>
      <c r="O95" s="89">
        <v>0</v>
      </c>
      <c r="P95" s="89">
        <v>0</v>
      </c>
      <c r="Q95" s="89">
        <v>211332.745062</v>
      </c>
      <c r="R95" s="89">
        <v>211332.745062</v>
      </c>
      <c r="S95" s="89">
        <v>331.84</v>
      </c>
      <c r="T95"/>
      <c r="U95" t="s">
        <v>155</v>
      </c>
      <c r="V95" t="s">
        <v>129</v>
      </c>
      <c r="W95" t="s">
        <v>197</v>
      </c>
      <c r="Y95" t="s">
        <v>359</v>
      </c>
      <c r="Z95" t="s">
        <v>360</v>
      </c>
      <c r="AA95" s="90">
        <v>77079</v>
      </c>
      <c r="AB95" t="s">
        <v>229</v>
      </c>
      <c r="AC95" t="s">
        <v>136</v>
      </c>
      <c r="AD95" t="s">
        <v>137</v>
      </c>
    </row>
    <row r="96" spans="2:30" x14ac:dyDescent="0.25">
      <c r="B96">
        <v>104001</v>
      </c>
      <c r="C96" t="s">
        <v>361</v>
      </c>
      <c r="D96">
        <v>2016</v>
      </c>
      <c r="F96" s="89">
        <v>7475105.05455619</v>
      </c>
      <c r="G96" s="89" t="s">
        <v>128</v>
      </c>
      <c r="H96" s="89"/>
      <c r="I96" s="89">
        <v>0</v>
      </c>
      <c r="J96" s="89">
        <v>0</v>
      </c>
      <c r="K96" s="89">
        <v>6984700.6347561898</v>
      </c>
      <c r="L96" s="89">
        <v>490404.41979999898</v>
      </c>
      <c r="M96" s="89">
        <v>0</v>
      </c>
      <c r="N96" s="89"/>
      <c r="O96" s="89">
        <v>0</v>
      </c>
      <c r="P96" s="89">
        <v>6984700.6347561898</v>
      </c>
      <c r="Q96" s="89">
        <v>0</v>
      </c>
      <c r="R96" s="89">
        <v>6984700.6347561898</v>
      </c>
      <c r="S96" s="89">
        <v>490404.41979999898</v>
      </c>
      <c r="T96"/>
      <c r="U96" t="s">
        <v>155</v>
      </c>
      <c r="V96" t="s">
        <v>129</v>
      </c>
      <c r="W96" t="s">
        <v>204</v>
      </c>
      <c r="Y96" t="s">
        <v>362</v>
      </c>
      <c r="Z96" t="s">
        <v>307</v>
      </c>
      <c r="AA96" s="90">
        <v>98230</v>
      </c>
      <c r="AB96" t="s">
        <v>227</v>
      </c>
      <c r="AC96" t="s">
        <v>147</v>
      </c>
      <c r="AD96" t="s">
        <v>148</v>
      </c>
    </row>
    <row r="97" spans="2:30" x14ac:dyDescent="0.25">
      <c r="B97">
        <v>100389</v>
      </c>
      <c r="C97" t="s">
        <v>363</v>
      </c>
      <c r="D97">
        <v>2016</v>
      </c>
      <c r="F97" s="89">
        <v>46711.809545514399</v>
      </c>
      <c r="G97" s="89" t="s">
        <v>128</v>
      </c>
      <c r="H97" s="89"/>
      <c r="I97" s="89">
        <v>46711.809545514399</v>
      </c>
      <c r="J97" s="89">
        <v>0</v>
      </c>
      <c r="K97" s="89">
        <v>0</v>
      </c>
      <c r="L97" s="89">
        <v>0</v>
      </c>
      <c r="M97" s="89">
        <v>0</v>
      </c>
      <c r="N97" s="89"/>
      <c r="O97" s="89">
        <v>46711.809545514399</v>
      </c>
      <c r="P97" s="89">
        <v>0</v>
      </c>
      <c r="Q97" s="89">
        <v>0</v>
      </c>
      <c r="R97" s="89">
        <v>46711.809545514399</v>
      </c>
      <c r="S97" s="89">
        <v>0</v>
      </c>
      <c r="T97"/>
      <c r="U97" t="s">
        <v>210</v>
      </c>
      <c r="V97" t="s">
        <v>129</v>
      </c>
      <c r="W97" t="s">
        <v>364</v>
      </c>
      <c r="Y97" t="s">
        <v>220</v>
      </c>
      <c r="Z97" t="s">
        <v>131</v>
      </c>
      <c r="AA97" s="90">
        <v>92614</v>
      </c>
      <c r="AB97" t="s">
        <v>224</v>
      </c>
      <c r="AC97" t="s">
        <v>0</v>
      </c>
      <c r="AD97" t="s">
        <v>143</v>
      </c>
    </row>
    <row r="98" spans="2:30" x14ac:dyDescent="0.25">
      <c r="B98">
        <v>100061</v>
      </c>
      <c r="C98" t="s">
        <v>365</v>
      </c>
      <c r="D98">
        <v>2016</v>
      </c>
      <c r="F98" s="89">
        <v>123397.438500472</v>
      </c>
      <c r="G98" s="89" t="s">
        <v>128</v>
      </c>
      <c r="H98" s="89"/>
      <c r="I98" s="89">
        <v>619.43850047249998</v>
      </c>
      <c r="J98" s="89">
        <v>122778</v>
      </c>
      <c r="K98" s="89">
        <v>0</v>
      </c>
      <c r="L98" s="89">
        <v>0</v>
      </c>
      <c r="M98" s="89">
        <v>0</v>
      </c>
      <c r="N98" s="89"/>
      <c r="O98" s="89">
        <v>0</v>
      </c>
      <c r="P98" s="89">
        <v>0</v>
      </c>
      <c r="Q98" s="89">
        <v>0</v>
      </c>
      <c r="R98" s="89">
        <v>0</v>
      </c>
      <c r="S98" s="89">
        <v>123397.438500472</v>
      </c>
      <c r="T98"/>
      <c r="U98" t="s">
        <v>155</v>
      </c>
      <c r="V98" t="s">
        <v>129</v>
      </c>
      <c r="W98" t="s">
        <v>156</v>
      </c>
      <c r="Y98" t="s">
        <v>366</v>
      </c>
      <c r="Z98" t="s">
        <v>131</v>
      </c>
      <c r="AA98" s="90">
        <v>92821</v>
      </c>
      <c r="AB98" t="s">
        <v>139</v>
      </c>
      <c r="AC98" t="s">
        <v>0</v>
      </c>
      <c r="AD98" t="s">
        <v>140</v>
      </c>
    </row>
    <row r="99" spans="2:30" x14ac:dyDescent="0.25">
      <c r="B99">
        <v>104075</v>
      </c>
      <c r="C99" t="s">
        <v>367</v>
      </c>
      <c r="D99">
        <v>2016</v>
      </c>
      <c r="F99" s="89">
        <v>29792.948911244399</v>
      </c>
      <c r="G99" s="89" t="s">
        <v>128</v>
      </c>
      <c r="H99" s="89"/>
      <c r="I99" s="89">
        <v>29792.948911244399</v>
      </c>
      <c r="J99" s="89">
        <v>0</v>
      </c>
      <c r="K99" s="89">
        <v>0</v>
      </c>
      <c r="L99" s="89">
        <v>0</v>
      </c>
      <c r="M99" s="89">
        <v>0</v>
      </c>
      <c r="N99" s="89"/>
      <c r="O99" s="89">
        <v>29377.678084327399</v>
      </c>
      <c r="P99" s="89">
        <v>0</v>
      </c>
      <c r="Q99" s="89">
        <v>0</v>
      </c>
      <c r="R99" s="89">
        <v>29377.678084327399</v>
      </c>
      <c r="S99" s="89">
        <v>415.27082691700002</v>
      </c>
      <c r="T99"/>
      <c r="U99" t="s">
        <v>155</v>
      </c>
      <c r="V99" t="s">
        <v>155</v>
      </c>
      <c r="W99" t="s">
        <v>368</v>
      </c>
      <c r="Y99" t="s">
        <v>369</v>
      </c>
      <c r="Z99" t="s">
        <v>131</v>
      </c>
      <c r="AA99" s="90">
        <v>90670</v>
      </c>
      <c r="AB99" t="s">
        <v>170</v>
      </c>
      <c r="AC99" t="s">
        <v>175</v>
      </c>
      <c r="AD99" t="s">
        <v>176</v>
      </c>
    </row>
    <row r="100" spans="2:30" x14ac:dyDescent="0.25">
      <c r="B100">
        <v>100904</v>
      </c>
      <c r="C100" t="s">
        <v>370</v>
      </c>
      <c r="D100">
        <v>2016</v>
      </c>
      <c r="F100" s="89">
        <v>268383.98475626501</v>
      </c>
      <c r="G100" s="89" t="s">
        <v>128</v>
      </c>
      <c r="H100" s="89"/>
      <c r="I100" s="89">
        <v>264645.25350900699</v>
      </c>
      <c r="J100" s="89">
        <v>0</v>
      </c>
      <c r="K100" s="89">
        <v>3738.73124725756</v>
      </c>
      <c r="L100" s="89">
        <v>0</v>
      </c>
      <c r="M100" s="89">
        <v>0</v>
      </c>
      <c r="N100" s="89"/>
      <c r="O100" s="89">
        <v>264331.99901319901</v>
      </c>
      <c r="P100" s="89">
        <v>3738.73124725756</v>
      </c>
      <c r="Q100" s="89">
        <v>0</v>
      </c>
      <c r="R100" s="89">
        <v>268070.73026045703</v>
      </c>
      <c r="S100" s="89">
        <v>313.254495808</v>
      </c>
      <c r="T100"/>
      <c r="U100" t="s">
        <v>155</v>
      </c>
      <c r="V100" t="s">
        <v>155</v>
      </c>
      <c r="W100" t="s">
        <v>222</v>
      </c>
      <c r="Y100" t="s">
        <v>366</v>
      </c>
      <c r="Z100" t="s">
        <v>131</v>
      </c>
      <c r="AA100" s="90">
        <v>92821</v>
      </c>
      <c r="AB100" t="s">
        <v>170</v>
      </c>
      <c r="AC100" t="s">
        <v>171</v>
      </c>
      <c r="AD100" t="s">
        <v>172</v>
      </c>
    </row>
    <row r="101" spans="2:30" x14ac:dyDescent="0.25">
      <c r="B101">
        <v>104120</v>
      </c>
      <c r="C101" t="s">
        <v>371</v>
      </c>
      <c r="D101">
        <v>2016</v>
      </c>
      <c r="F101" s="89">
        <v>56884.829420794798</v>
      </c>
      <c r="G101" s="89" t="s">
        <v>128</v>
      </c>
      <c r="H101" s="89"/>
      <c r="I101" s="89">
        <v>0</v>
      </c>
      <c r="J101" s="89">
        <v>0</v>
      </c>
      <c r="K101" s="89">
        <v>0</v>
      </c>
      <c r="L101" s="89">
        <v>0</v>
      </c>
      <c r="M101" s="89">
        <v>56884.829420794798</v>
      </c>
      <c r="N101" s="89"/>
      <c r="O101" s="89">
        <v>0</v>
      </c>
      <c r="P101" s="89">
        <v>0</v>
      </c>
      <c r="Q101" s="89">
        <v>12458.8019626075</v>
      </c>
      <c r="R101" s="89">
        <v>12458.8019626075</v>
      </c>
      <c r="S101" s="89">
        <v>44426.027458187302</v>
      </c>
      <c r="T101"/>
      <c r="U101" t="s">
        <v>155</v>
      </c>
      <c r="V101" t="s">
        <v>129</v>
      </c>
      <c r="W101" t="s">
        <v>372</v>
      </c>
      <c r="Y101" t="s">
        <v>373</v>
      </c>
      <c r="Z101" t="s">
        <v>374</v>
      </c>
      <c r="AA101" s="9" t="s">
        <v>375</v>
      </c>
      <c r="AB101" t="s">
        <v>376</v>
      </c>
      <c r="AC101" t="s">
        <v>136</v>
      </c>
      <c r="AD101" t="s">
        <v>137</v>
      </c>
    </row>
    <row r="102" spans="2:30" x14ac:dyDescent="0.25">
      <c r="B102">
        <v>104450</v>
      </c>
      <c r="C102" t="s">
        <v>377</v>
      </c>
      <c r="D102">
        <v>2016</v>
      </c>
      <c r="F102" s="89">
        <v>23811.5081596458</v>
      </c>
      <c r="G102" s="89" t="s">
        <v>128</v>
      </c>
      <c r="H102" s="89"/>
      <c r="I102" s="89">
        <v>441.70815964579998</v>
      </c>
      <c r="J102" s="89">
        <v>23369.8</v>
      </c>
      <c r="K102" s="89">
        <v>0</v>
      </c>
      <c r="L102" s="89">
        <v>0</v>
      </c>
      <c r="M102" s="89">
        <v>0</v>
      </c>
      <c r="N102" s="89"/>
      <c r="O102" s="89">
        <v>0</v>
      </c>
      <c r="P102" s="89">
        <v>0</v>
      </c>
      <c r="Q102" s="89">
        <v>0</v>
      </c>
      <c r="R102" s="89">
        <v>0</v>
      </c>
      <c r="S102" s="89">
        <v>23811.5081596458</v>
      </c>
      <c r="T102"/>
      <c r="U102" t="s">
        <v>155</v>
      </c>
      <c r="V102" t="s">
        <v>129</v>
      </c>
      <c r="W102" t="s">
        <v>156</v>
      </c>
      <c r="Y102" t="s">
        <v>378</v>
      </c>
      <c r="Z102" t="s">
        <v>131</v>
      </c>
      <c r="AA102" s="90">
        <v>95640</v>
      </c>
      <c r="AB102" t="s">
        <v>241</v>
      </c>
      <c r="AC102" t="s">
        <v>0</v>
      </c>
      <c r="AD102" t="s">
        <v>140</v>
      </c>
    </row>
    <row r="103" spans="2:30" x14ac:dyDescent="0.25">
      <c r="B103">
        <v>3027</v>
      </c>
      <c r="C103" t="s">
        <v>379</v>
      </c>
      <c r="D103">
        <v>2016</v>
      </c>
      <c r="F103" s="89">
        <v>365936.78790198901</v>
      </c>
      <c r="G103" s="89" t="s">
        <v>128</v>
      </c>
      <c r="H103" s="89"/>
      <c r="I103" s="89">
        <v>0</v>
      </c>
      <c r="J103" s="89">
        <v>0</v>
      </c>
      <c r="K103" s="89">
        <v>0</v>
      </c>
      <c r="L103" s="89">
        <v>0</v>
      </c>
      <c r="M103" s="89">
        <v>365936.78790198901</v>
      </c>
      <c r="N103" s="89"/>
      <c r="O103" s="89">
        <v>0</v>
      </c>
      <c r="P103" s="89">
        <v>0</v>
      </c>
      <c r="Q103" s="89">
        <v>323239.935901989</v>
      </c>
      <c r="R103" s="89">
        <v>323239.935901989</v>
      </c>
      <c r="S103" s="89">
        <v>42696.851999999999</v>
      </c>
      <c r="T103"/>
      <c r="U103" t="s">
        <v>155</v>
      </c>
      <c r="V103" t="s">
        <v>129</v>
      </c>
      <c r="W103" t="s">
        <v>197</v>
      </c>
      <c r="Y103" t="s">
        <v>380</v>
      </c>
      <c r="Z103" t="s">
        <v>131</v>
      </c>
      <c r="AA103" s="90">
        <v>90120</v>
      </c>
      <c r="AB103" t="s">
        <v>381</v>
      </c>
      <c r="AC103" t="s">
        <v>136</v>
      </c>
      <c r="AD103" t="s">
        <v>137</v>
      </c>
    </row>
    <row r="104" spans="2:30" x14ac:dyDescent="0.25">
      <c r="B104">
        <v>100018</v>
      </c>
      <c r="C104" t="s">
        <v>382</v>
      </c>
      <c r="D104">
        <v>2016</v>
      </c>
      <c r="F104" s="89">
        <v>358695.659121409</v>
      </c>
      <c r="G104" s="89" t="s">
        <v>128</v>
      </c>
      <c r="H104" s="89"/>
      <c r="I104" s="89">
        <v>18271.659121409699</v>
      </c>
      <c r="J104" s="89">
        <v>340424</v>
      </c>
      <c r="K104" s="89">
        <v>0</v>
      </c>
      <c r="L104" s="89">
        <v>0</v>
      </c>
      <c r="M104" s="89">
        <v>0</v>
      </c>
      <c r="N104" s="89"/>
      <c r="O104" s="89">
        <v>0</v>
      </c>
      <c r="P104" s="89">
        <v>0</v>
      </c>
      <c r="Q104" s="89">
        <v>0</v>
      </c>
      <c r="R104" s="89">
        <v>0</v>
      </c>
      <c r="S104" s="89">
        <v>358695.659121409</v>
      </c>
      <c r="T104"/>
      <c r="U104" t="s">
        <v>155</v>
      </c>
      <c r="V104" t="s">
        <v>129</v>
      </c>
      <c r="W104" t="s">
        <v>215</v>
      </c>
      <c r="Y104" t="s">
        <v>383</v>
      </c>
      <c r="Z104" t="s">
        <v>131</v>
      </c>
      <c r="AA104" s="90">
        <v>96013</v>
      </c>
      <c r="AB104" t="s">
        <v>139</v>
      </c>
      <c r="AC104" t="s">
        <v>0</v>
      </c>
      <c r="AD104" t="s">
        <v>133</v>
      </c>
    </row>
    <row r="105" spans="2:30" x14ac:dyDescent="0.25">
      <c r="B105">
        <v>104077</v>
      </c>
      <c r="C105" t="s">
        <v>384</v>
      </c>
      <c r="D105">
        <v>2016</v>
      </c>
      <c r="F105" s="89">
        <v>642380.94296836795</v>
      </c>
      <c r="G105" s="89" t="s">
        <v>128</v>
      </c>
      <c r="H105" s="89"/>
      <c r="I105" s="89">
        <v>625658.17296836805</v>
      </c>
      <c r="J105" s="89">
        <v>16722.77</v>
      </c>
      <c r="K105" s="89">
        <v>0</v>
      </c>
      <c r="L105" s="89">
        <v>0</v>
      </c>
      <c r="M105" s="89">
        <v>0</v>
      </c>
      <c r="N105" s="89"/>
      <c r="O105" s="89">
        <v>625658.17296836805</v>
      </c>
      <c r="P105" s="89">
        <v>0</v>
      </c>
      <c r="Q105" s="89">
        <v>0</v>
      </c>
      <c r="R105" s="89">
        <v>625658.17296836805</v>
      </c>
      <c r="S105" s="89">
        <v>16722.77</v>
      </c>
      <c r="T105"/>
      <c r="U105" t="s">
        <v>155</v>
      </c>
      <c r="V105" t="s">
        <v>129</v>
      </c>
      <c r="W105" t="s">
        <v>197</v>
      </c>
      <c r="Y105" t="s">
        <v>380</v>
      </c>
      <c r="Z105" t="s">
        <v>131</v>
      </c>
      <c r="AA105" s="90">
        <v>91503</v>
      </c>
      <c r="AB105" t="s">
        <v>132</v>
      </c>
      <c r="AC105" t="s">
        <v>385</v>
      </c>
      <c r="AD105" t="s">
        <v>140</v>
      </c>
    </row>
    <row r="106" spans="2:30" x14ac:dyDescent="0.25">
      <c r="B106">
        <v>100692</v>
      </c>
      <c r="C106" t="s">
        <v>386</v>
      </c>
      <c r="D106">
        <v>2016</v>
      </c>
      <c r="F106" s="89">
        <v>7591.45</v>
      </c>
      <c r="G106" s="89" t="s">
        <v>128</v>
      </c>
      <c r="H106" s="89"/>
      <c r="I106" s="89">
        <v>7591.45</v>
      </c>
      <c r="J106" s="89">
        <v>0</v>
      </c>
      <c r="K106" s="89">
        <v>0</v>
      </c>
      <c r="L106" s="89">
        <v>0</v>
      </c>
      <c r="M106" s="89">
        <v>0</v>
      </c>
      <c r="N106" s="89"/>
      <c r="O106" s="89">
        <v>0</v>
      </c>
      <c r="P106" s="89">
        <v>0</v>
      </c>
      <c r="Q106" s="89">
        <v>0</v>
      </c>
      <c r="R106" s="89">
        <v>0</v>
      </c>
      <c r="S106" s="89">
        <v>7591.45</v>
      </c>
      <c r="T106"/>
      <c r="U106" t="s">
        <v>129</v>
      </c>
      <c r="V106" t="s">
        <v>129</v>
      </c>
      <c r="Y106" t="s">
        <v>387</v>
      </c>
      <c r="Z106" t="s">
        <v>131</v>
      </c>
      <c r="AA106" s="90">
        <v>92233</v>
      </c>
      <c r="AB106" t="s">
        <v>139</v>
      </c>
      <c r="AC106" t="s">
        <v>0</v>
      </c>
      <c r="AD106" t="s">
        <v>140</v>
      </c>
    </row>
    <row r="107" spans="2:30" x14ac:dyDescent="0.25">
      <c r="B107">
        <v>100703</v>
      </c>
      <c r="C107" t="s">
        <v>388</v>
      </c>
      <c r="D107">
        <v>2016</v>
      </c>
      <c r="F107" s="89">
        <v>23920.6</v>
      </c>
      <c r="G107" s="89" t="s">
        <v>128</v>
      </c>
      <c r="H107" s="89"/>
      <c r="I107" s="89">
        <v>23920.6</v>
      </c>
      <c r="J107" s="89">
        <v>0</v>
      </c>
      <c r="K107" s="89">
        <v>0</v>
      </c>
      <c r="L107" s="89">
        <v>0</v>
      </c>
      <c r="M107" s="89">
        <v>0</v>
      </c>
      <c r="N107" s="89"/>
      <c r="O107" s="89">
        <v>0</v>
      </c>
      <c r="P107" s="89">
        <v>0</v>
      </c>
      <c r="Q107" s="89">
        <v>0</v>
      </c>
      <c r="R107" s="89">
        <v>0</v>
      </c>
      <c r="S107" s="89">
        <v>23920.6</v>
      </c>
      <c r="T107"/>
      <c r="U107" t="s">
        <v>129</v>
      </c>
      <c r="V107" t="s">
        <v>129</v>
      </c>
      <c r="Y107" t="s">
        <v>387</v>
      </c>
      <c r="Z107" t="s">
        <v>131</v>
      </c>
      <c r="AA107" s="90">
        <v>92233</v>
      </c>
      <c r="AB107" t="s">
        <v>139</v>
      </c>
      <c r="AC107" t="s">
        <v>0</v>
      </c>
      <c r="AD107" t="s">
        <v>140</v>
      </c>
    </row>
    <row r="108" spans="2:30" x14ac:dyDescent="0.25">
      <c r="B108">
        <v>100712</v>
      </c>
      <c r="C108" t="s">
        <v>389</v>
      </c>
      <c r="D108">
        <v>2016</v>
      </c>
      <c r="F108" s="89">
        <v>77604.977490074001</v>
      </c>
      <c r="G108" s="89" t="s">
        <v>128</v>
      </c>
      <c r="H108" s="89"/>
      <c r="I108" s="89">
        <v>77604.977490074001</v>
      </c>
      <c r="J108" s="89">
        <v>0</v>
      </c>
      <c r="K108" s="89">
        <v>0</v>
      </c>
      <c r="L108" s="89">
        <v>0</v>
      </c>
      <c r="M108" s="89">
        <v>0</v>
      </c>
      <c r="N108" s="89"/>
      <c r="O108" s="89">
        <v>0</v>
      </c>
      <c r="P108" s="89">
        <v>0</v>
      </c>
      <c r="Q108" s="89">
        <v>0</v>
      </c>
      <c r="R108" s="89">
        <v>0</v>
      </c>
      <c r="S108" s="89">
        <v>77604.977490074001</v>
      </c>
      <c r="T108"/>
      <c r="U108" t="s">
        <v>155</v>
      </c>
      <c r="V108" t="s">
        <v>129</v>
      </c>
      <c r="W108" t="s">
        <v>277</v>
      </c>
      <c r="Y108" t="s">
        <v>387</v>
      </c>
      <c r="Z108" t="s">
        <v>131</v>
      </c>
      <c r="AA108" s="90">
        <v>92233</v>
      </c>
      <c r="AB108" t="s">
        <v>139</v>
      </c>
      <c r="AC108" t="s">
        <v>0</v>
      </c>
      <c r="AD108" t="s">
        <v>140</v>
      </c>
    </row>
    <row r="109" spans="2:30" x14ac:dyDescent="0.25">
      <c r="B109">
        <v>100716</v>
      </c>
      <c r="C109" t="s">
        <v>390</v>
      </c>
      <c r="D109">
        <v>2016</v>
      </c>
      <c r="F109" s="89">
        <v>45657.46</v>
      </c>
      <c r="G109" s="89" t="s">
        <v>128</v>
      </c>
      <c r="H109" s="89"/>
      <c r="I109" s="89">
        <v>45657.46</v>
      </c>
      <c r="J109" s="89">
        <v>0</v>
      </c>
      <c r="K109" s="89">
        <v>0</v>
      </c>
      <c r="L109" s="89">
        <v>0</v>
      </c>
      <c r="M109" s="89">
        <v>0</v>
      </c>
      <c r="N109" s="89"/>
      <c r="O109" s="89">
        <v>0</v>
      </c>
      <c r="P109" s="89">
        <v>0</v>
      </c>
      <c r="Q109" s="89">
        <v>0</v>
      </c>
      <c r="R109" s="89">
        <v>0</v>
      </c>
      <c r="S109" s="89">
        <v>45657.46</v>
      </c>
      <c r="T109"/>
      <c r="U109" t="s">
        <v>155</v>
      </c>
      <c r="V109" t="s">
        <v>129</v>
      </c>
      <c r="W109" t="s">
        <v>277</v>
      </c>
      <c r="Y109" t="s">
        <v>387</v>
      </c>
      <c r="Z109" t="s">
        <v>131</v>
      </c>
      <c r="AA109" s="90">
        <v>92233</v>
      </c>
      <c r="AB109" t="s">
        <v>139</v>
      </c>
      <c r="AC109" t="s">
        <v>0</v>
      </c>
      <c r="AD109" t="s">
        <v>140</v>
      </c>
    </row>
    <row r="110" spans="2:30" x14ac:dyDescent="0.25">
      <c r="B110">
        <v>104411</v>
      </c>
      <c r="C110" t="s">
        <v>391</v>
      </c>
      <c r="D110">
        <v>2016</v>
      </c>
      <c r="F110" s="89">
        <v>9541.1549292554191</v>
      </c>
      <c r="G110" s="89" t="s">
        <v>128</v>
      </c>
      <c r="H110" s="89"/>
      <c r="I110" s="89">
        <v>9541.1549292554191</v>
      </c>
      <c r="J110" s="89">
        <v>0</v>
      </c>
      <c r="K110" s="89">
        <v>0</v>
      </c>
      <c r="L110" s="89">
        <v>0</v>
      </c>
      <c r="M110" s="89">
        <v>0</v>
      </c>
      <c r="N110" s="89"/>
      <c r="O110" s="89">
        <v>0</v>
      </c>
      <c r="P110" s="89">
        <v>0</v>
      </c>
      <c r="Q110" s="89">
        <v>0</v>
      </c>
      <c r="R110" s="89">
        <v>0</v>
      </c>
      <c r="S110" s="89">
        <v>9541.1549292554191</v>
      </c>
      <c r="T110"/>
      <c r="U110" t="s">
        <v>129</v>
      </c>
      <c r="V110" t="s">
        <v>129</v>
      </c>
      <c r="Y110" t="s">
        <v>392</v>
      </c>
      <c r="Z110" t="s">
        <v>131</v>
      </c>
      <c r="AA110" s="90">
        <v>90701</v>
      </c>
      <c r="AB110" t="s">
        <v>393</v>
      </c>
      <c r="AC110" t="s">
        <v>0</v>
      </c>
      <c r="AD110" t="s">
        <v>143</v>
      </c>
    </row>
    <row r="111" spans="2:30" x14ac:dyDescent="0.25">
      <c r="B111">
        <v>100959</v>
      </c>
      <c r="C111" t="s">
        <v>394</v>
      </c>
      <c r="D111">
        <v>2016</v>
      </c>
      <c r="F111" s="89">
        <v>28656.479255812199</v>
      </c>
      <c r="G111" s="89" t="s">
        <v>128</v>
      </c>
      <c r="H111" s="89"/>
      <c r="I111" s="89">
        <v>28656.479255812199</v>
      </c>
      <c r="J111" s="89">
        <v>0</v>
      </c>
      <c r="K111" s="89">
        <v>0</v>
      </c>
      <c r="L111" s="89">
        <v>0</v>
      </c>
      <c r="M111" s="89">
        <v>0</v>
      </c>
      <c r="N111" s="89"/>
      <c r="O111" s="89">
        <v>28656.479255812199</v>
      </c>
      <c r="P111" s="89">
        <v>0</v>
      </c>
      <c r="Q111" s="89">
        <v>0</v>
      </c>
      <c r="R111" s="89">
        <v>28656.479255812199</v>
      </c>
      <c r="S111" s="89">
        <v>0</v>
      </c>
      <c r="T111"/>
      <c r="U111" t="s">
        <v>155</v>
      </c>
      <c r="V111" t="s">
        <v>155</v>
      </c>
      <c r="W111" t="s">
        <v>232</v>
      </c>
      <c r="Y111" t="s">
        <v>395</v>
      </c>
      <c r="Z111" t="s">
        <v>131</v>
      </c>
      <c r="AA111" s="90">
        <v>93706</v>
      </c>
      <c r="AB111" t="s">
        <v>393</v>
      </c>
      <c r="AC111" t="s">
        <v>0</v>
      </c>
      <c r="AD111" t="s">
        <v>143</v>
      </c>
    </row>
    <row r="112" spans="2:30" x14ac:dyDescent="0.25">
      <c r="B112">
        <v>104410</v>
      </c>
      <c r="C112" t="s">
        <v>396</v>
      </c>
      <c r="D112">
        <v>2016</v>
      </c>
      <c r="F112" s="89">
        <v>11579.872374705999</v>
      </c>
      <c r="G112" s="89" t="s">
        <v>128</v>
      </c>
      <c r="H112" s="89"/>
      <c r="I112" s="89">
        <v>11579.872374705999</v>
      </c>
      <c r="J112" s="89">
        <v>0</v>
      </c>
      <c r="K112" s="89">
        <v>0</v>
      </c>
      <c r="L112" s="89">
        <v>0</v>
      </c>
      <c r="M112" s="89">
        <v>0</v>
      </c>
      <c r="N112" s="89"/>
      <c r="O112" s="89">
        <v>0</v>
      </c>
      <c r="P112" s="89">
        <v>0</v>
      </c>
      <c r="Q112" s="89">
        <v>0</v>
      </c>
      <c r="R112" s="89">
        <v>0</v>
      </c>
      <c r="S112" s="89">
        <v>11579.872374705999</v>
      </c>
      <c r="T112"/>
      <c r="U112" t="s">
        <v>129</v>
      </c>
      <c r="V112" t="s">
        <v>129</v>
      </c>
      <c r="Y112" t="s">
        <v>397</v>
      </c>
      <c r="Z112" t="s">
        <v>131</v>
      </c>
      <c r="AA112" s="90">
        <v>93635</v>
      </c>
      <c r="AB112" t="s">
        <v>393</v>
      </c>
      <c r="AC112" t="s">
        <v>0</v>
      </c>
      <c r="AD112" t="s">
        <v>143</v>
      </c>
    </row>
    <row r="113" spans="2:30" x14ac:dyDescent="0.25">
      <c r="B113">
        <v>101509</v>
      </c>
      <c r="C113" t="s">
        <v>398</v>
      </c>
      <c r="D113">
        <v>2016</v>
      </c>
      <c r="F113" s="89">
        <v>38943.692379351298</v>
      </c>
      <c r="G113" s="89" t="s">
        <v>128</v>
      </c>
      <c r="H113" s="89"/>
      <c r="I113" s="89">
        <v>38943.692379351298</v>
      </c>
      <c r="J113" s="89">
        <v>0</v>
      </c>
      <c r="K113" s="89">
        <v>0</v>
      </c>
      <c r="L113" s="89">
        <v>0</v>
      </c>
      <c r="M113" s="89">
        <v>0</v>
      </c>
      <c r="N113" s="89"/>
      <c r="O113" s="89">
        <v>38943.692379351298</v>
      </c>
      <c r="P113" s="89">
        <v>0</v>
      </c>
      <c r="Q113" s="89">
        <v>0</v>
      </c>
      <c r="R113" s="89">
        <v>38943.692379351298</v>
      </c>
      <c r="S113" s="89">
        <v>0</v>
      </c>
      <c r="T113"/>
      <c r="U113" t="s">
        <v>155</v>
      </c>
      <c r="V113" t="s">
        <v>155</v>
      </c>
      <c r="W113" t="s">
        <v>232</v>
      </c>
      <c r="Y113" t="s">
        <v>399</v>
      </c>
      <c r="Z113" t="s">
        <v>131</v>
      </c>
      <c r="AA113" s="90">
        <v>93272</v>
      </c>
      <c r="AB113" t="s">
        <v>393</v>
      </c>
      <c r="AC113" t="s">
        <v>0</v>
      </c>
      <c r="AD113" t="s">
        <v>143</v>
      </c>
    </row>
    <row r="114" spans="2:30" x14ac:dyDescent="0.25">
      <c r="B114">
        <v>101190</v>
      </c>
      <c r="C114" t="s">
        <v>400</v>
      </c>
      <c r="D114">
        <v>2016</v>
      </c>
      <c r="F114" s="89">
        <v>33757.553309655603</v>
      </c>
      <c r="G114" s="89" t="s">
        <v>128</v>
      </c>
      <c r="H114" s="89"/>
      <c r="I114" s="89">
        <v>33757.553309655603</v>
      </c>
      <c r="J114" s="89">
        <v>0</v>
      </c>
      <c r="K114" s="89">
        <v>0</v>
      </c>
      <c r="L114" s="89">
        <v>0</v>
      </c>
      <c r="M114" s="89">
        <v>0</v>
      </c>
      <c r="N114" s="89"/>
      <c r="O114" s="89">
        <v>33757.553309655603</v>
      </c>
      <c r="P114" s="89">
        <v>0</v>
      </c>
      <c r="Q114" s="89">
        <v>0</v>
      </c>
      <c r="R114" s="89">
        <v>33757.553309655603</v>
      </c>
      <c r="S114" s="89">
        <v>0</v>
      </c>
      <c r="T114"/>
      <c r="U114" t="s">
        <v>155</v>
      </c>
      <c r="V114" t="s">
        <v>155</v>
      </c>
      <c r="W114" t="s">
        <v>232</v>
      </c>
      <c r="Y114" t="s">
        <v>401</v>
      </c>
      <c r="Z114" t="s">
        <v>131</v>
      </c>
      <c r="AA114" s="90">
        <v>95380</v>
      </c>
      <c r="AB114" t="s">
        <v>393</v>
      </c>
      <c r="AC114" t="s">
        <v>0</v>
      </c>
      <c r="AD114" t="s">
        <v>143</v>
      </c>
    </row>
    <row r="115" spans="2:30" x14ac:dyDescent="0.25">
      <c r="B115">
        <v>101197</v>
      </c>
      <c r="C115" t="s">
        <v>402</v>
      </c>
      <c r="D115">
        <v>2016</v>
      </c>
      <c r="F115" s="89">
        <v>60423.122750023402</v>
      </c>
      <c r="G115" s="89" t="s">
        <v>128</v>
      </c>
      <c r="H115" s="89"/>
      <c r="I115" s="89">
        <v>60423.122750023402</v>
      </c>
      <c r="J115" s="89">
        <v>0</v>
      </c>
      <c r="K115" s="89">
        <v>0</v>
      </c>
      <c r="L115" s="89">
        <v>0</v>
      </c>
      <c r="M115" s="89">
        <v>0</v>
      </c>
      <c r="N115" s="89"/>
      <c r="O115" s="89">
        <v>60423.122750023402</v>
      </c>
      <c r="P115" s="89">
        <v>0</v>
      </c>
      <c r="Q115" s="89">
        <v>0</v>
      </c>
      <c r="R115" s="89">
        <v>60423.122750023402</v>
      </c>
      <c r="S115" s="89">
        <v>0</v>
      </c>
      <c r="T115"/>
      <c r="U115" t="s">
        <v>155</v>
      </c>
      <c r="V115" t="s">
        <v>155</v>
      </c>
      <c r="W115" t="s">
        <v>232</v>
      </c>
      <c r="Y115" t="s">
        <v>403</v>
      </c>
      <c r="Z115" t="s">
        <v>131</v>
      </c>
      <c r="AA115" s="90">
        <v>93291</v>
      </c>
      <c r="AB115" t="s">
        <v>393</v>
      </c>
      <c r="AC115" t="s">
        <v>0</v>
      </c>
      <c r="AD115" t="s">
        <v>143</v>
      </c>
    </row>
    <row r="116" spans="2:30" x14ac:dyDescent="0.25">
      <c r="B116">
        <v>3072</v>
      </c>
      <c r="C116" t="s">
        <v>1498</v>
      </c>
      <c r="D116">
        <v>2016</v>
      </c>
      <c r="F116" s="89">
        <v>0</v>
      </c>
      <c r="G116" s="89" t="s">
        <v>128</v>
      </c>
      <c r="H116" s="89"/>
      <c r="I116" s="89">
        <v>0</v>
      </c>
      <c r="J116" s="89">
        <v>0</v>
      </c>
      <c r="K116" s="89">
        <v>0</v>
      </c>
      <c r="L116" s="89">
        <v>0</v>
      </c>
      <c r="M116" s="89">
        <v>0</v>
      </c>
      <c r="N116" s="89"/>
      <c r="O116" s="89">
        <v>0</v>
      </c>
      <c r="P116" s="89">
        <v>0</v>
      </c>
      <c r="Q116" s="89">
        <v>0</v>
      </c>
      <c r="R116" s="89">
        <v>0</v>
      </c>
      <c r="S116" s="89">
        <v>0</v>
      </c>
      <c r="T116"/>
      <c r="U116" t="s">
        <v>129</v>
      </c>
      <c r="V116" t="s">
        <v>129</v>
      </c>
      <c r="Y116" t="s">
        <v>134</v>
      </c>
      <c r="Z116" t="s">
        <v>131</v>
      </c>
      <c r="AA116" s="90">
        <v>95825</v>
      </c>
      <c r="AB116" t="s">
        <v>135</v>
      </c>
      <c r="AC116" t="s">
        <v>136</v>
      </c>
      <c r="AD116" t="s">
        <v>137</v>
      </c>
    </row>
    <row r="117" spans="2:30" x14ac:dyDescent="0.25">
      <c r="B117">
        <v>100327</v>
      </c>
      <c r="C117" t="s">
        <v>404</v>
      </c>
      <c r="D117">
        <v>2016</v>
      </c>
      <c r="F117" s="89">
        <v>56100.444882399999</v>
      </c>
      <c r="G117" s="89" t="s">
        <v>128</v>
      </c>
      <c r="H117" s="89"/>
      <c r="I117" s="89">
        <v>56100.444882399999</v>
      </c>
      <c r="J117" s="89">
        <v>0</v>
      </c>
      <c r="K117" s="89">
        <v>0</v>
      </c>
      <c r="L117" s="89">
        <v>0</v>
      </c>
      <c r="M117" s="89">
        <v>0</v>
      </c>
      <c r="N117" s="89"/>
      <c r="O117" s="89">
        <v>56100.444882399999</v>
      </c>
      <c r="P117" s="89">
        <v>0</v>
      </c>
      <c r="Q117" s="89">
        <v>0</v>
      </c>
      <c r="R117" s="89">
        <v>56100.444882399999</v>
      </c>
      <c r="S117" s="89">
        <v>0</v>
      </c>
      <c r="T117"/>
      <c r="U117" t="s">
        <v>155</v>
      </c>
      <c r="V117" t="s">
        <v>129</v>
      </c>
      <c r="W117" t="s">
        <v>215</v>
      </c>
      <c r="Y117" t="s">
        <v>405</v>
      </c>
      <c r="Z117" t="s">
        <v>131</v>
      </c>
      <c r="AA117" s="90">
        <v>91125</v>
      </c>
      <c r="AB117" t="s">
        <v>335</v>
      </c>
      <c r="AC117" t="s">
        <v>0</v>
      </c>
      <c r="AD117" t="s">
        <v>143</v>
      </c>
    </row>
    <row r="118" spans="2:30" x14ac:dyDescent="0.25">
      <c r="B118">
        <v>104662</v>
      </c>
      <c r="C118" t="s">
        <v>406</v>
      </c>
      <c r="D118">
        <v>2016</v>
      </c>
      <c r="F118" s="89">
        <v>23669.3632</v>
      </c>
      <c r="G118" s="89" t="s">
        <v>128</v>
      </c>
      <c r="H118" s="89"/>
      <c r="I118" s="89">
        <v>23669.3632</v>
      </c>
      <c r="J118" s="89">
        <v>0</v>
      </c>
      <c r="K118" s="89">
        <v>0</v>
      </c>
      <c r="L118" s="89">
        <v>0</v>
      </c>
      <c r="M118" s="89">
        <v>0</v>
      </c>
      <c r="N118" s="89"/>
      <c r="O118" s="89">
        <v>0</v>
      </c>
      <c r="P118" s="89">
        <v>0</v>
      </c>
      <c r="Q118" s="89">
        <v>0</v>
      </c>
      <c r="R118" s="89">
        <v>0</v>
      </c>
      <c r="S118" s="89">
        <v>23669.3632</v>
      </c>
      <c r="T118"/>
      <c r="U118" t="s">
        <v>129</v>
      </c>
      <c r="V118" t="s">
        <v>129</v>
      </c>
      <c r="Y118" t="s">
        <v>407</v>
      </c>
      <c r="Z118" t="s">
        <v>131</v>
      </c>
      <c r="AA118" s="90">
        <v>95687</v>
      </c>
      <c r="AB118" t="s">
        <v>408</v>
      </c>
      <c r="AC118" t="s">
        <v>0</v>
      </c>
      <c r="AD118" t="s">
        <v>143</v>
      </c>
    </row>
    <row r="119" spans="2:30" x14ac:dyDescent="0.25">
      <c r="B119">
        <v>104353</v>
      </c>
      <c r="C119" t="s">
        <v>409</v>
      </c>
      <c r="D119">
        <v>2016</v>
      </c>
      <c r="F119" s="89">
        <v>14474.2316108144</v>
      </c>
      <c r="G119" s="89" t="s">
        <v>128</v>
      </c>
      <c r="H119" s="89"/>
      <c r="I119" s="89">
        <v>14474.2316108144</v>
      </c>
      <c r="J119" s="89">
        <v>0</v>
      </c>
      <c r="K119" s="89">
        <v>0</v>
      </c>
      <c r="L119" s="89">
        <v>0</v>
      </c>
      <c r="M119" s="89">
        <v>0</v>
      </c>
      <c r="N119" s="89"/>
      <c r="O119" s="89">
        <v>0</v>
      </c>
      <c r="P119" s="89">
        <v>0</v>
      </c>
      <c r="Q119" s="89">
        <v>0</v>
      </c>
      <c r="R119" s="89">
        <v>0</v>
      </c>
      <c r="S119" s="89">
        <v>14474.2316108144</v>
      </c>
      <c r="T119"/>
      <c r="U119" t="s">
        <v>129</v>
      </c>
      <c r="V119" t="s">
        <v>129</v>
      </c>
      <c r="Y119" t="s">
        <v>410</v>
      </c>
      <c r="Z119" t="s">
        <v>131</v>
      </c>
      <c r="AA119" s="90">
        <v>95330</v>
      </c>
      <c r="AB119" t="s">
        <v>411</v>
      </c>
      <c r="AC119" t="s">
        <v>0</v>
      </c>
      <c r="AD119" t="s">
        <v>143</v>
      </c>
    </row>
    <row r="120" spans="2:30" x14ac:dyDescent="0.25">
      <c r="B120">
        <v>104135</v>
      </c>
      <c r="C120" t="s">
        <v>412</v>
      </c>
      <c r="D120">
        <v>2016</v>
      </c>
      <c r="F120" s="89">
        <v>2432.2844528000001</v>
      </c>
      <c r="G120" s="89" t="s">
        <v>128</v>
      </c>
      <c r="H120" s="89"/>
      <c r="I120" s="89">
        <v>2432.2844528000001</v>
      </c>
      <c r="J120" s="89">
        <v>0</v>
      </c>
      <c r="K120" s="89">
        <v>0</v>
      </c>
      <c r="L120" s="89">
        <v>0</v>
      </c>
      <c r="M120" s="89">
        <v>0</v>
      </c>
      <c r="N120" s="89"/>
      <c r="O120" s="89">
        <v>2432.2844528000001</v>
      </c>
      <c r="P120" s="89">
        <v>0</v>
      </c>
      <c r="Q120" s="89">
        <v>0</v>
      </c>
      <c r="R120" s="89">
        <v>2432.2844528000001</v>
      </c>
      <c r="S120" s="89">
        <v>0</v>
      </c>
      <c r="T120"/>
      <c r="U120" t="s">
        <v>155</v>
      </c>
      <c r="V120" t="s">
        <v>155</v>
      </c>
      <c r="W120" t="s">
        <v>215</v>
      </c>
      <c r="Y120" t="s">
        <v>413</v>
      </c>
      <c r="Z120" t="s">
        <v>131</v>
      </c>
      <c r="AA120" s="90">
        <v>95050</v>
      </c>
      <c r="AB120" t="s">
        <v>414</v>
      </c>
      <c r="AC120" t="s">
        <v>0</v>
      </c>
      <c r="AD120" t="s">
        <v>143</v>
      </c>
    </row>
    <row r="121" spans="2:30" x14ac:dyDescent="0.25">
      <c r="B121">
        <v>104362</v>
      </c>
      <c r="C121" t="s">
        <v>415</v>
      </c>
      <c r="D121">
        <v>2016</v>
      </c>
      <c r="F121" s="89">
        <v>10130.226047329301</v>
      </c>
      <c r="G121" s="89" t="s">
        <v>128</v>
      </c>
      <c r="H121" s="89"/>
      <c r="I121" s="89">
        <v>10130.226047329301</v>
      </c>
      <c r="J121" s="89">
        <v>0</v>
      </c>
      <c r="K121" s="89">
        <v>0</v>
      </c>
      <c r="L121" s="89">
        <v>0</v>
      </c>
      <c r="M121" s="89">
        <v>0</v>
      </c>
      <c r="N121" s="89"/>
      <c r="O121" s="89">
        <v>0</v>
      </c>
      <c r="P121" s="89">
        <v>0</v>
      </c>
      <c r="Q121" s="89">
        <v>0</v>
      </c>
      <c r="R121" s="89">
        <v>0</v>
      </c>
      <c r="S121" s="89">
        <v>10130.226047329301</v>
      </c>
      <c r="T121"/>
      <c r="U121" t="s">
        <v>129</v>
      </c>
      <c r="V121" t="s">
        <v>129</v>
      </c>
      <c r="Y121" t="s">
        <v>416</v>
      </c>
      <c r="Z121" t="s">
        <v>131</v>
      </c>
      <c r="AA121" s="90">
        <v>93407</v>
      </c>
      <c r="AB121" t="s">
        <v>335</v>
      </c>
      <c r="AC121" t="s">
        <v>0</v>
      </c>
      <c r="AD121" t="s">
        <v>143</v>
      </c>
    </row>
    <row r="122" spans="2:30" x14ac:dyDescent="0.25">
      <c r="B122">
        <v>101060</v>
      </c>
      <c r="C122" t="s">
        <v>417</v>
      </c>
      <c r="D122">
        <v>2016</v>
      </c>
      <c r="F122" s="89">
        <v>12953.882753600001</v>
      </c>
      <c r="G122" s="89" t="s">
        <v>128</v>
      </c>
      <c r="H122" s="89"/>
      <c r="I122" s="89">
        <v>12953.882753600001</v>
      </c>
      <c r="J122" s="89">
        <v>0</v>
      </c>
      <c r="K122" s="89">
        <v>0</v>
      </c>
      <c r="L122" s="89">
        <v>0</v>
      </c>
      <c r="M122" s="89">
        <v>0</v>
      </c>
      <c r="N122" s="89"/>
      <c r="O122" s="89">
        <v>12953.882753600001</v>
      </c>
      <c r="P122" s="89">
        <v>0</v>
      </c>
      <c r="Q122" s="89">
        <v>0</v>
      </c>
      <c r="R122" s="89">
        <v>12953.882753600001</v>
      </c>
      <c r="S122" s="89">
        <v>0</v>
      </c>
      <c r="T122"/>
      <c r="U122" t="s">
        <v>155</v>
      </c>
      <c r="V122" t="s">
        <v>129</v>
      </c>
      <c r="W122" t="s">
        <v>156</v>
      </c>
      <c r="Y122" t="s">
        <v>265</v>
      </c>
      <c r="Z122" t="s">
        <v>131</v>
      </c>
      <c r="AA122" s="90">
        <v>95360</v>
      </c>
      <c r="AB122" t="s">
        <v>132</v>
      </c>
      <c r="AC122" t="s">
        <v>0</v>
      </c>
      <c r="AD122" t="s">
        <v>140</v>
      </c>
    </row>
    <row r="123" spans="2:30" x14ac:dyDescent="0.25">
      <c r="B123">
        <v>100368</v>
      </c>
      <c r="C123" t="s">
        <v>418</v>
      </c>
      <c r="D123">
        <v>2016</v>
      </c>
      <c r="F123" s="89">
        <v>14082.549056</v>
      </c>
      <c r="G123" s="89" t="s">
        <v>128</v>
      </c>
      <c r="H123" s="89"/>
      <c r="I123" s="89">
        <v>14082.549056</v>
      </c>
      <c r="J123" s="89">
        <v>0</v>
      </c>
      <c r="K123" s="89">
        <v>0</v>
      </c>
      <c r="L123" s="89">
        <v>0</v>
      </c>
      <c r="M123" s="89">
        <v>0</v>
      </c>
      <c r="N123" s="89"/>
      <c r="O123" s="89">
        <v>0</v>
      </c>
      <c r="P123" s="89">
        <v>0</v>
      </c>
      <c r="Q123" s="89">
        <v>0</v>
      </c>
      <c r="R123" s="89">
        <v>0</v>
      </c>
      <c r="S123" s="89">
        <v>14082.549056</v>
      </c>
      <c r="T123"/>
      <c r="U123" t="s">
        <v>129</v>
      </c>
      <c r="V123" t="s">
        <v>129</v>
      </c>
      <c r="Y123" t="s">
        <v>419</v>
      </c>
      <c r="Z123" t="s">
        <v>131</v>
      </c>
      <c r="AA123" s="90">
        <v>96080</v>
      </c>
      <c r="AB123" t="s">
        <v>132</v>
      </c>
      <c r="AC123" t="s">
        <v>0</v>
      </c>
      <c r="AD123" t="s">
        <v>140</v>
      </c>
    </row>
    <row r="124" spans="2:30" x14ac:dyDescent="0.25">
      <c r="B124">
        <v>104014</v>
      </c>
      <c r="C124" t="s">
        <v>420</v>
      </c>
      <c r="D124">
        <v>2016</v>
      </c>
      <c r="F124" s="89">
        <v>3311132.7308891499</v>
      </c>
      <c r="G124" s="89" t="s">
        <v>128</v>
      </c>
      <c r="H124" s="89"/>
      <c r="I124" s="89">
        <v>1709336.8128</v>
      </c>
      <c r="J124" s="89">
        <v>0</v>
      </c>
      <c r="K124" s="89">
        <v>1601795.91808915</v>
      </c>
      <c r="L124" s="89">
        <v>0</v>
      </c>
      <c r="M124" s="89">
        <v>0</v>
      </c>
      <c r="N124" s="89"/>
      <c r="O124" s="89">
        <v>1709163.5083000001</v>
      </c>
      <c r="P124" s="89">
        <v>227486.86868491201</v>
      </c>
      <c r="Q124" s="89">
        <v>0</v>
      </c>
      <c r="R124" s="89">
        <v>1936650.3769849101</v>
      </c>
      <c r="S124" s="89">
        <v>1374482.3539042401</v>
      </c>
      <c r="T124"/>
      <c r="U124" t="s">
        <v>155</v>
      </c>
      <c r="V124" t="s">
        <v>155</v>
      </c>
      <c r="W124" t="s">
        <v>235</v>
      </c>
      <c r="Y124" t="s">
        <v>421</v>
      </c>
      <c r="Z124" t="s">
        <v>131</v>
      </c>
      <c r="AA124" s="90">
        <v>93276</v>
      </c>
      <c r="AB124" t="s">
        <v>170</v>
      </c>
      <c r="AC124" t="s">
        <v>171</v>
      </c>
      <c r="AD124" t="s">
        <v>172</v>
      </c>
    </row>
    <row r="125" spans="2:30" x14ac:dyDescent="0.25">
      <c r="B125">
        <v>104072</v>
      </c>
      <c r="C125" t="s">
        <v>422</v>
      </c>
      <c r="D125">
        <v>2016</v>
      </c>
      <c r="F125" s="89">
        <v>275884.61953969998</v>
      </c>
      <c r="G125" s="89" t="s">
        <v>128</v>
      </c>
      <c r="H125" s="89"/>
      <c r="I125" s="89">
        <v>275884.61953969998</v>
      </c>
      <c r="J125" s="89">
        <v>0</v>
      </c>
      <c r="K125" s="89">
        <v>0</v>
      </c>
      <c r="L125" s="89">
        <v>0</v>
      </c>
      <c r="M125" s="89">
        <v>0</v>
      </c>
      <c r="N125" s="89"/>
      <c r="O125" s="89">
        <v>264694.76613</v>
      </c>
      <c r="P125" s="89">
        <v>0</v>
      </c>
      <c r="Q125" s="89">
        <v>0</v>
      </c>
      <c r="R125" s="89">
        <v>264694.76613</v>
      </c>
      <c r="S125" s="89">
        <v>11189.853409699999</v>
      </c>
      <c r="T125"/>
      <c r="U125" t="s">
        <v>155</v>
      </c>
      <c r="V125" t="s">
        <v>155</v>
      </c>
      <c r="W125" t="s">
        <v>168</v>
      </c>
      <c r="Y125" t="s">
        <v>185</v>
      </c>
      <c r="Z125" t="s">
        <v>131</v>
      </c>
      <c r="AA125" s="90">
        <v>90802</v>
      </c>
      <c r="AB125" t="s">
        <v>170</v>
      </c>
      <c r="AC125" t="s">
        <v>175</v>
      </c>
      <c r="AD125" t="s">
        <v>176</v>
      </c>
    </row>
    <row r="126" spans="2:30" x14ac:dyDescent="0.25">
      <c r="B126">
        <v>104029</v>
      </c>
      <c r="C126" t="s">
        <v>423</v>
      </c>
      <c r="D126">
        <v>2016</v>
      </c>
      <c r="F126" s="89">
        <v>187183.68515971999</v>
      </c>
      <c r="G126" s="89" t="s">
        <v>128</v>
      </c>
      <c r="H126" s="89"/>
      <c r="I126" s="89">
        <v>185478.39970000001</v>
      </c>
      <c r="J126" s="89">
        <v>0</v>
      </c>
      <c r="K126" s="89">
        <v>1705.2854597200001</v>
      </c>
      <c r="L126" s="89">
        <v>0</v>
      </c>
      <c r="M126" s="89">
        <v>0</v>
      </c>
      <c r="N126" s="89"/>
      <c r="O126" s="89">
        <v>79425.134399999995</v>
      </c>
      <c r="P126" s="89">
        <v>0</v>
      </c>
      <c r="Q126" s="89">
        <v>0</v>
      </c>
      <c r="R126" s="89">
        <v>79425.134399999995</v>
      </c>
      <c r="S126" s="89">
        <v>107758.55075972</v>
      </c>
      <c r="T126"/>
      <c r="U126" t="s">
        <v>155</v>
      </c>
      <c r="V126" t="s">
        <v>155</v>
      </c>
      <c r="W126" t="s">
        <v>235</v>
      </c>
      <c r="Y126" t="s">
        <v>424</v>
      </c>
      <c r="Z126" t="s">
        <v>131</v>
      </c>
      <c r="AA126" s="90">
        <v>94571</v>
      </c>
      <c r="AB126" t="s">
        <v>170</v>
      </c>
      <c r="AC126" t="s">
        <v>171</v>
      </c>
      <c r="AD126" t="s">
        <v>176</v>
      </c>
    </row>
    <row r="127" spans="2:30" x14ac:dyDescent="0.25">
      <c r="B127">
        <v>104030</v>
      </c>
      <c r="C127" t="s">
        <v>425</v>
      </c>
      <c r="D127">
        <v>2016</v>
      </c>
      <c r="F127" s="89">
        <v>1329885.2012742001</v>
      </c>
      <c r="G127" s="89" t="s">
        <v>128</v>
      </c>
      <c r="H127" s="89"/>
      <c r="I127" s="89">
        <v>1329885.2012742001</v>
      </c>
      <c r="J127" s="89">
        <v>0</v>
      </c>
      <c r="K127" s="89">
        <v>0</v>
      </c>
      <c r="L127" s="89">
        <v>0</v>
      </c>
      <c r="M127" s="89">
        <v>0</v>
      </c>
      <c r="N127" s="89"/>
      <c r="O127" s="89">
        <v>1279937.9429037999</v>
      </c>
      <c r="P127" s="89">
        <v>0</v>
      </c>
      <c r="Q127" s="89">
        <v>0</v>
      </c>
      <c r="R127" s="89">
        <v>1279937.9429037999</v>
      </c>
      <c r="S127" s="89">
        <v>49947.258370399999</v>
      </c>
      <c r="T127"/>
      <c r="U127" t="s">
        <v>155</v>
      </c>
      <c r="V127" t="s">
        <v>155</v>
      </c>
      <c r="W127" t="s">
        <v>235</v>
      </c>
      <c r="Y127" t="s">
        <v>178</v>
      </c>
      <c r="Z127" t="s">
        <v>131</v>
      </c>
      <c r="AA127" s="90">
        <v>93308</v>
      </c>
      <c r="AB127" t="s">
        <v>170</v>
      </c>
      <c r="AC127" t="s">
        <v>175</v>
      </c>
      <c r="AD127" t="s">
        <v>176</v>
      </c>
    </row>
    <row r="128" spans="2:30" x14ac:dyDescent="0.25">
      <c r="B128">
        <v>104033</v>
      </c>
      <c r="C128" t="s">
        <v>426</v>
      </c>
      <c r="D128">
        <v>2016</v>
      </c>
      <c r="F128" s="89">
        <v>83287.640904443804</v>
      </c>
      <c r="G128" s="89" t="s">
        <v>128</v>
      </c>
      <c r="H128" s="89"/>
      <c r="I128" s="89">
        <v>26931.96067</v>
      </c>
      <c r="J128" s="89">
        <v>0</v>
      </c>
      <c r="K128" s="89">
        <v>56355.680234443797</v>
      </c>
      <c r="L128" s="89">
        <v>0</v>
      </c>
      <c r="M128" s="89">
        <v>0</v>
      </c>
      <c r="N128" s="89"/>
      <c r="O128" s="89">
        <v>26577.500069999998</v>
      </c>
      <c r="P128" s="89">
        <v>0</v>
      </c>
      <c r="Q128" s="89">
        <v>0</v>
      </c>
      <c r="R128" s="89">
        <v>26577.500069999998</v>
      </c>
      <c r="S128" s="89">
        <v>56710.140834443802</v>
      </c>
      <c r="T128"/>
      <c r="U128" t="s">
        <v>155</v>
      </c>
      <c r="V128" t="s">
        <v>155</v>
      </c>
      <c r="W128" t="s">
        <v>168</v>
      </c>
      <c r="Y128" t="s">
        <v>427</v>
      </c>
      <c r="Z128" t="s">
        <v>131</v>
      </c>
      <c r="AA128" s="90">
        <v>93040</v>
      </c>
      <c r="AB128" t="s">
        <v>170</v>
      </c>
      <c r="AC128" t="s">
        <v>171</v>
      </c>
      <c r="AD128" t="s">
        <v>172</v>
      </c>
    </row>
    <row r="129" spans="2:30" x14ac:dyDescent="0.25">
      <c r="B129">
        <v>104031</v>
      </c>
      <c r="C129" t="s">
        <v>428</v>
      </c>
      <c r="D129">
        <v>2016</v>
      </c>
      <c r="F129" s="89">
        <v>8538.0852400000003</v>
      </c>
      <c r="G129" s="89" t="s">
        <v>128</v>
      </c>
      <c r="H129" s="89"/>
      <c r="I129" s="89">
        <v>8538.0852400000003</v>
      </c>
      <c r="J129" s="89">
        <v>0</v>
      </c>
      <c r="K129" s="89">
        <v>0</v>
      </c>
      <c r="L129" s="89">
        <v>0</v>
      </c>
      <c r="M129" s="89">
        <v>0</v>
      </c>
      <c r="N129" s="89"/>
      <c r="O129" s="89">
        <v>0</v>
      </c>
      <c r="P129" s="89">
        <v>0</v>
      </c>
      <c r="Q129" s="89">
        <v>0</v>
      </c>
      <c r="R129" s="89">
        <v>0</v>
      </c>
      <c r="S129" s="89">
        <v>8538.0852400000003</v>
      </c>
      <c r="T129"/>
      <c r="U129" t="s">
        <v>129</v>
      </c>
      <c r="V129" t="s">
        <v>129</v>
      </c>
      <c r="Y129" t="s">
        <v>429</v>
      </c>
      <c r="Z129" t="s">
        <v>131</v>
      </c>
      <c r="AA129" s="90">
        <v>93060</v>
      </c>
      <c r="AB129" t="s">
        <v>170</v>
      </c>
      <c r="AC129" t="s">
        <v>175</v>
      </c>
      <c r="AD129" t="s">
        <v>176</v>
      </c>
    </row>
    <row r="130" spans="2:30" x14ac:dyDescent="0.25">
      <c r="B130">
        <v>104657</v>
      </c>
      <c r="C130" t="s">
        <v>430</v>
      </c>
      <c r="D130">
        <v>2016</v>
      </c>
      <c r="F130" s="89">
        <v>10659.8349392</v>
      </c>
      <c r="G130" s="89" t="s">
        <v>128</v>
      </c>
      <c r="H130" s="89"/>
      <c r="I130" s="89">
        <v>10659.8349392</v>
      </c>
      <c r="J130" s="89">
        <v>0</v>
      </c>
      <c r="K130" s="89">
        <v>0</v>
      </c>
      <c r="L130" s="89">
        <v>0</v>
      </c>
      <c r="M130" s="89">
        <v>0</v>
      </c>
      <c r="N130" s="89"/>
      <c r="O130" s="89">
        <v>0</v>
      </c>
      <c r="P130" s="89">
        <v>0</v>
      </c>
      <c r="Q130" s="89">
        <v>0</v>
      </c>
      <c r="R130" s="89">
        <v>0</v>
      </c>
      <c r="S130" s="89">
        <v>10659.8349392</v>
      </c>
      <c r="T130"/>
      <c r="U130" t="s">
        <v>129</v>
      </c>
      <c r="V130" t="s">
        <v>129</v>
      </c>
      <c r="Y130" t="s">
        <v>431</v>
      </c>
      <c r="Z130" t="s">
        <v>131</v>
      </c>
      <c r="AA130" s="90">
        <v>93212</v>
      </c>
      <c r="AB130" t="s">
        <v>304</v>
      </c>
      <c r="AC130" t="s">
        <v>0</v>
      </c>
      <c r="AD130" t="s">
        <v>143</v>
      </c>
    </row>
    <row r="131" spans="2:30" x14ac:dyDescent="0.25">
      <c r="B131">
        <v>104736</v>
      </c>
      <c r="C131" t="s">
        <v>1519</v>
      </c>
      <c r="D131">
        <v>2016</v>
      </c>
      <c r="F131" s="89">
        <v>17028.5280112</v>
      </c>
      <c r="G131" s="89" t="s">
        <v>128</v>
      </c>
      <c r="H131" s="89"/>
      <c r="I131" s="89">
        <v>17028.5280112</v>
      </c>
      <c r="J131" s="89">
        <v>0</v>
      </c>
      <c r="K131" s="89">
        <v>0</v>
      </c>
      <c r="L131" s="89">
        <v>0</v>
      </c>
      <c r="M131" s="89">
        <v>0</v>
      </c>
      <c r="N131" s="89"/>
      <c r="O131" s="89">
        <v>0</v>
      </c>
      <c r="P131" s="89">
        <v>0</v>
      </c>
      <c r="Q131" s="89">
        <v>0</v>
      </c>
      <c r="R131" s="89">
        <v>0</v>
      </c>
      <c r="S131" s="89">
        <v>17028.5280112</v>
      </c>
      <c r="T131"/>
      <c r="U131" t="s">
        <v>129</v>
      </c>
      <c r="V131" t="s">
        <v>129</v>
      </c>
      <c r="Y131" t="s">
        <v>1520</v>
      </c>
      <c r="Z131" t="s">
        <v>131</v>
      </c>
      <c r="AA131" s="90">
        <v>95671</v>
      </c>
      <c r="AB131" t="s">
        <v>304</v>
      </c>
      <c r="AC131" t="s">
        <v>0</v>
      </c>
      <c r="AD131" t="s">
        <v>143</v>
      </c>
    </row>
    <row r="132" spans="2:30" x14ac:dyDescent="0.25">
      <c r="B132">
        <v>100235</v>
      </c>
      <c r="C132" t="s">
        <v>432</v>
      </c>
      <c r="D132">
        <v>2016</v>
      </c>
      <c r="F132" s="89">
        <v>84041.676888424001</v>
      </c>
      <c r="G132" s="89" t="s">
        <v>128</v>
      </c>
      <c r="H132" s="89"/>
      <c r="I132" s="89">
        <v>84041.676888424001</v>
      </c>
      <c r="J132" s="89">
        <v>0</v>
      </c>
      <c r="K132" s="89">
        <v>0</v>
      </c>
      <c r="L132" s="89">
        <v>0</v>
      </c>
      <c r="M132" s="89">
        <v>0</v>
      </c>
      <c r="N132" s="89"/>
      <c r="O132" s="89">
        <v>84041.676888424001</v>
      </c>
      <c r="P132" s="89">
        <v>0</v>
      </c>
      <c r="Q132" s="89">
        <v>0</v>
      </c>
      <c r="R132" s="89">
        <v>84041.676888424001</v>
      </c>
      <c r="S132" s="89">
        <v>0</v>
      </c>
      <c r="T132"/>
      <c r="U132" t="s">
        <v>155</v>
      </c>
      <c r="V132" t="s">
        <v>129</v>
      </c>
      <c r="W132" t="s">
        <v>222</v>
      </c>
      <c r="Y132" t="s">
        <v>433</v>
      </c>
      <c r="Z132" t="s">
        <v>131</v>
      </c>
      <c r="AA132" s="90">
        <v>93012</v>
      </c>
      <c r="AB132" t="s">
        <v>335</v>
      </c>
      <c r="AC132" t="s">
        <v>0</v>
      </c>
      <c r="AD132" t="s">
        <v>133</v>
      </c>
    </row>
    <row r="133" spans="2:30" x14ac:dyDescent="0.25">
      <c r="B133">
        <v>104350</v>
      </c>
      <c r="C133" t="s">
        <v>434</v>
      </c>
      <c r="D133">
        <v>2016</v>
      </c>
      <c r="F133" s="89">
        <v>20746.5453504</v>
      </c>
      <c r="G133" s="89" t="s">
        <v>128</v>
      </c>
      <c r="H133" s="89"/>
      <c r="I133" s="89">
        <v>20746.5453504</v>
      </c>
      <c r="J133" s="89">
        <v>0</v>
      </c>
      <c r="K133" s="89">
        <v>0</v>
      </c>
      <c r="L133" s="89">
        <v>0</v>
      </c>
      <c r="M133" s="89">
        <v>0</v>
      </c>
      <c r="N133" s="89"/>
      <c r="O133" s="89">
        <v>0</v>
      </c>
      <c r="P133" s="89">
        <v>0</v>
      </c>
      <c r="Q133" s="89">
        <v>0</v>
      </c>
      <c r="R133" s="89">
        <v>0</v>
      </c>
      <c r="S133" s="89">
        <v>20746.5453504</v>
      </c>
      <c r="T133"/>
      <c r="U133" t="s">
        <v>129</v>
      </c>
      <c r="V133" t="s">
        <v>129</v>
      </c>
      <c r="Y133" t="s">
        <v>435</v>
      </c>
      <c r="Z133" t="s">
        <v>131</v>
      </c>
      <c r="AA133" s="90">
        <v>92831</v>
      </c>
      <c r="AB133" t="s">
        <v>335</v>
      </c>
      <c r="AC133" t="s">
        <v>0</v>
      </c>
      <c r="AD133" t="s">
        <v>143</v>
      </c>
    </row>
    <row r="134" spans="2:30" x14ac:dyDescent="0.25">
      <c r="B134">
        <v>101399</v>
      </c>
      <c r="C134" t="s">
        <v>436</v>
      </c>
      <c r="D134">
        <v>2016</v>
      </c>
      <c r="F134" s="89">
        <v>42010.128739200001</v>
      </c>
      <c r="G134" s="89" t="s">
        <v>128</v>
      </c>
      <c r="H134" s="89"/>
      <c r="I134" s="89">
        <v>42010.128739200001</v>
      </c>
      <c r="J134" s="89">
        <v>0</v>
      </c>
      <c r="K134" s="89">
        <v>0</v>
      </c>
      <c r="L134" s="89">
        <v>0</v>
      </c>
      <c r="M134" s="89">
        <v>0</v>
      </c>
      <c r="N134" s="89"/>
      <c r="O134" s="89">
        <v>42010.128739200001</v>
      </c>
      <c r="P134" s="89">
        <v>0</v>
      </c>
      <c r="Q134" s="89">
        <v>0</v>
      </c>
      <c r="R134" s="89">
        <v>42010.128739200001</v>
      </c>
      <c r="S134" s="89">
        <v>0</v>
      </c>
      <c r="T134"/>
      <c r="U134" t="s">
        <v>155</v>
      </c>
      <c r="V134" t="s">
        <v>129</v>
      </c>
      <c r="W134" t="s">
        <v>277</v>
      </c>
      <c r="Y134" t="s">
        <v>283</v>
      </c>
      <c r="Z134" t="s">
        <v>131</v>
      </c>
      <c r="AA134" s="90">
        <v>92182</v>
      </c>
      <c r="AB134" t="s">
        <v>335</v>
      </c>
      <c r="AC134" t="s">
        <v>0</v>
      </c>
      <c r="AD134" t="s">
        <v>143</v>
      </c>
    </row>
    <row r="135" spans="2:30" x14ac:dyDescent="0.25">
      <c r="B135">
        <v>100131</v>
      </c>
      <c r="C135" t="s">
        <v>437</v>
      </c>
      <c r="D135">
        <v>2016</v>
      </c>
      <c r="F135" s="89">
        <v>29587.4860912</v>
      </c>
      <c r="G135" s="89" t="s">
        <v>128</v>
      </c>
      <c r="H135" s="89"/>
      <c r="I135" s="89">
        <v>29587.4860912</v>
      </c>
      <c r="J135" s="89">
        <v>0</v>
      </c>
      <c r="K135" s="89">
        <v>0</v>
      </c>
      <c r="L135" s="89">
        <v>0</v>
      </c>
      <c r="M135" s="89">
        <v>0</v>
      </c>
      <c r="N135" s="89"/>
      <c r="O135" s="89">
        <v>0</v>
      </c>
      <c r="P135" s="89">
        <v>0</v>
      </c>
      <c r="Q135" s="89">
        <v>0</v>
      </c>
      <c r="R135" s="89">
        <v>0</v>
      </c>
      <c r="S135" s="89">
        <v>29587.4860912</v>
      </c>
      <c r="T135"/>
      <c r="U135" t="s">
        <v>155</v>
      </c>
      <c r="V135" t="s">
        <v>129</v>
      </c>
      <c r="W135" t="s">
        <v>277</v>
      </c>
      <c r="Y135" t="s">
        <v>438</v>
      </c>
      <c r="Z135" t="s">
        <v>131</v>
      </c>
      <c r="AA135" s="90">
        <v>95192</v>
      </c>
      <c r="AB135" t="s">
        <v>335</v>
      </c>
      <c r="AC135" t="s">
        <v>0</v>
      </c>
      <c r="AD135" t="s">
        <v>143</v>
      </c>
    </row>
    <row r="136" spans="2:30" x14ac:dyDescent="0.25">
      <c r="B136">
        <v>100954</v>
      </c>
      <c r="C136" t="s">
        <v>439</v>
      </c>
      <c r="D136">
        <v>2016</v>
      </c>
      <c r="F136" s="89">
        <v>180136.800299353</v>
      </c>
      <c r="G136" s="89" t="s">
        <v>128</v>
      </c>
      <c r="H136" s="89"/>
      <c r="I136" s="89">
        <v>180136.800299353</v>
      </c>
      <c r="J136" s="89">
        <v>0</v>
      </c>
      <c r="K136" s="89">
        <v>0</v>
      </c>
      <c r="L136" s="89">
        <v>0</v>
      </c>
      <c r="M136" s="89">
        <v>0</v>
      </c>
      <c r="N136" s="89"/>
      <c r="O136" s="89">
        <v>180136.800299353</v>
      </c>
      <c r="P136" s="89">
        <v>0</v>
      </c>
      <c r="Q136" s="89">
        <v>0</v>
      </c>
      <c r="R136" s="89">
        <v>180136.800299353</v>
      </c>
      <c r="S136" s="89">
        <v>0</v>
      </c>
      <c r="T136"/>
      <c r="U136" t="s">
        <v>155</v>
      </c>
      <c r="V136" t="s">
        <v>155</v>
      </c>
      <c r="W136" t="s">
        <v>215</v>
      </c>
      <c r="Y136" t="s">
        <v>440</v>
      </c>
      <c r="Z136" t="s">
        <v>131</v>
      </c>
      <c r="AA136" s="90">
        <v>92335</v>
      </c>
      <c r="AB136" t="s">
        <v>441</v>
      </c>
      <c r="AC136" t="s">
        <v>0</v>
      </c>
      <c r="AD136" t="s">
        <v>143</v>
      </c>
    </row>
    <row r="137" spans="2:30" x14ac:dyDescent="0.25">
      <c r="B137">
        <v>101405</v>
      </c>
      <c r="C137" t="s">
        <v>442</v>
      </c>
      <c r="D137">
        <v>2016</v>
      </c>
      <c r="F137" s="89">
        <v>6600.9354160000003</v>
      </c>
      <c r="G137" s="89" t="s">
        <v>128</v>
      </c>
      <c r="H137" s="89"/>
      <c r="I137" s="89">
        <v>6600.9354160000003</v>
      </c>
      <c r="J137" s="89">
        <v>0</v>
      </c>
      <c r="K137" s="89">
        <v>0</v>
      </c>
      <c r="L137" s="89">
        <v>0</v>
      </c>
      <c r="M137" s="89">
        <v>0</v>
      </c>
      <c r="N137" s="89"/>
      <c r="O137" s="89">
        <v>0</v>
      </c>
      <c r="P137" s="89">
        <v>0</v>
      </c>
      <c r="Q137" s="89">
        <v>0</v>
      </c>
      <c r="R137" s="89">
        <v>0</v>
      </c>
      <c r="S137" s="89">
        <v>6600.9354160000003</v>
      </c>
      <c r="T137"/>
      <c r="U137" t="s">
        <v>129</v>
      </c>
      <c r="V137" t="s">
        <v>129</v>
      </c>
      <c r="Y137" t="s">
        <v>283</v>
      </c>
      <c r="Z137" t="s">
        <v>131</v>
      </c>
      <c r="AA137" s="90">
        <v>92154</v>
      </c>
      <c r="AB137" t="s">
        <v>132</v>
      </c>
      <c r="AC137" t="s">
        <v>1</v>
      </c>
      <c r="AD137" t="s">
        <v>140</v>
      </c>
    </row>
    <row r="138" spans="2:30" x14ac:dyDescent="0.25">
      <c r="B138">
        <v>101662</v>
      </c>
      <c r="C138" t="s">
        <v>443</v>
      </c>
      <c r="D138">
        <v>2016</v>
      </c>
      <c r="F138" s="89">
        <v>7016.3661320000001</v>
      </c>
      <c r="G138" s="89" t="s">
        <v>128</v>
      </c>
      <c r="H138" s="89"/>
      <c r="I138" s="89">
        <v>7016.3661320000001</v>
      </c>
      <c r="J138" s="89">
        <v>0</v>
      </c>
      <c r="K138" s="89">
        <v>0</v>
      </c>
      <c r="L138" s="89">
        <v>0</v>
      </c>
      <c r="M138" s="89">
        <v>0</v>
      </c>
      <c r="N138" s="89"/>
      <c r="O138" s="89">
        <v>0</v>
      </c>
      <c r="P138" s="89">
        <v>0</v>
      </c>
      <c r="Q138" s="89">
        <v>0</v>
      </c>
      <c r="R138" s="89">
        <v>0</v>
      </c>
      <c r="S138" s="89">
        <v>7016.3661320000001</v>
      </c>
      <c r="T138"/>
      <c r="U138" t="s">
        <v>129</v>
      </c>
      <c r="V138" t="s">
        <v>129</v>
      </c>
      <c r="Y138" t="s">
        <v>444</v>
      </c>
      <c r="Z138" t="s">
        <v>131</v>
      </c>
      <c r="AA138" s="90">
        <v>92029</v>
      </c>
      <c r="AB138" t="s">
        <v>132</v>
      </c>
      <c r="AC138" t="s">
        <v>1</v>
      </c>
      <c r="AD138" t="s">
        <v>140</v>
      </c>
    </row>
    <row r="139" spans="2:30" x14ac:dyDescent="0.25">
      <c r="B139">
        <v>100376</v>
      </c>
      <c r="C139" t="s">
        <v>445</v>
      </c>
      <c r="D139">
        <v>2016</v>
      </c>
      <c r="F139" s="89">
        <v>10596.739732</v>
      </c>
      <c r="G139" s="89" t="s">
        <v>128</v>
      </c>
      <c r="H139" s="89"/>
      <c r="I139" s="89">
        <v>10596.739732</v>
      </c>
      <c r="J139" s="89">
        <v>0</v>
      </c>
      <c r="K139" s="89">
        <v>0</v>
      </c>
      <c r="L139" s="89">
        <v>0</v>
      </c>
      <c r="M139" s="89">
        <v>0</v>
      </c>
      <c r="N139" s="89"/>
      <c r="O139" s="89">
        <v>0</v>
      </c>
      <c r="P139" s="89">
        <v>0</v>
      </c>
      <c r="Q139" s="89">
        <v>0</v>
      </c>
      <c r="R139" s="89">
        <v>0</v>
      </c>
      <c r="S139" s="89">
        <v>10596.739732</v>
      </c>
      <c r="T139"/>
      <c r="U139" t="s">
        <v>129</v>
      </c>
      <c r="V139" t="s">
        <v>129</v>
      </c>
      <c r="Y139" t="s">
        <v>446</v>
      </c>
      <c r="Z139" t="s">
        <v>131</v>
      </c>
      <c r="AA139" s="90">
        <v>93622</v>
      </c>
      <c r="AB139" t="s">
        <v>132</v>
      </c>
      <c r="AC139" t="s">
        <v>1</v>
      </c>
      <c r="AD139" t="s">
        <v>140</v>
      </c>
    </row>
    <row r="140" spans="2:30" x14ac:dyDescent="0.25">
      <c r="B140">
        <v>100377</v>
      </c>
      <c r="C140" t="s">
        <v>447</v>
      </c>
      <c r="D140">
        <v>2016</v>
      </c>
      <c r="F140" s="89">
        <v>7856.9261079999997</v>
      </c>
      <c r="G140" s="89" t="s">
        <v>128</v>
      </c>
      <c r="H140" s="89"/>
      <c r="I140" s="89">
        <v>7856.9261079999997</v>
      </c>
      <c r="J140" s="89">
        <v>0</v>
      </c>
      <c r="K140" s="89">
        <v>0</v>
      </c>
      <c r="L140" s="89">
        <v>0</v>
      </c>
      <c r="M140" s="89">
        <v>0</v>
      </c>
      <c r="N140" s="89"/>
      <c r="O140" s="89">
        <v>0</v>
      </c>
      <c r="P140" s="89">
        <v>0</v>
      </c>
      <c r="Q140" s="89">
        <v>0</v>
      </c>
      <c r="R140" s="89">
        <v>0</v>
      </c>
      <c r="S140" s="89">
        <v>7856.9261079999997</v>
      </c>
      <c r="T140"/>
      <c r="U140" t="s">
        <v>129</v>
      </c>
      <c r="V140" t="s">
        <v>129</v>
      </c>
      <c r="Y140" t="s">
        <v>407</v>
      </c>
      <c r="Z140" t="s">
        <v>131</v>
      </c>
      <c r="AA140" s="90">
        <v>95688</v>
      </c>
      <c r="AB140" t="s">
        <v>132</v>
      </c>
      <c r="AC140" t="s">
        <v>1</v>
      </c>
      <c r="AD140" t="s">
        <v>140</v>
      </c>
    </row>
    <row r="141" spans="2:30" x14ac:dyDescent="0.25">
      <c r="B141">
        <v>101496</v>
      </c>
      <c r="C141" t="s">
        <v>448</v>
      </c>
      <c r="D141">
        <v>2016</v>
      </c>
      <c r="F141" s="89">
        <v>165.31927999999999</v>
      </c>
      <c r="G141" s="89" t="s">
        <v>128</v>
      </c>
      <c r="H141" s="89"/>
      <c r="I141" s="89">
        <v>165.31927999999999</v>
      </c>
      <c r="J141" s="89">
        <v>0</v>
      </c>
      <c r="K141" s="89">
        <v>0</v>
      </c>
      <c r="L141" s="89">
        <v>0</v>
      </c>
      <c r="M141" s="89">
        <v>0</v>
      </c>
      <c r="N141" s="89"/>
      <c r="O141" s="89">
        <v>165.31927999999999</v>
      </c>
      <c r="P141" s="89">
        <v>0</v>
      </c>
      <c r="Q141" s="89">
        <v>0</v>
      </c>
      <c r="R141" s="89">
        <v>165.31927999999999</v>
      </c>
      <c r="S141" s="89">
        <v>0</v>
      </c>
      <c r="T141"/>
      <c r="U141" t="s">
        <v>155</v>
      </c>
      <c r="V141" t="s">
        <v>129</v>
      </c>
      <c r="W141" t="s">
        <v>337</v>
      </c>
      <c r="Y141" t="s">
        <v>449</v>
      </c>
      <c r="Z141" t="s">
        <v>131</v>
      </c>
      <c r="AA141" s="90">
        <v>95993</v>
      </c>
      <c r="AB141" t="s">
        <v>132</v>
      </c>
      <c r="AC141" t="s">
        <v>0</v>
      </c>
      <c r="AD141" t="s">
        <v>140</v>
      </c>
    </row>
    <row r="142" spans="2:30" x14ac:dyDescent="0.25">
      <c r="B142">
        <v>104332</v>
      </c>
      <c r="C142" t="s">
        <v>450</v>
      </c>
      <c r="D142">
        <v>2016</v>
      </c>
      <c r="F142" s="89">
        <v>377251.16687999998</v>
      </c>
      <c r="G142" s="89" t="s">
        <v>128</v>
      </c>
      <c r="H142" s="89"/>
      <c r="I142" s="89">
        <v>0</v>
      </c>
      <c r="J142" s="89">
        <v>0</v>
      </c>
      <c r="K142" s="89">
        <v>377251.16687999998</v>
      </c>
      <c r="L142" s="89">
        <v>0</v>
      </c>
      <c r="M142" s="89">
        <v>0</v>
      </c>
      <c r="N142" s="89"/>
      <c r="O142" s="89">
        <v>0</v>
      </c>
      <c r="P142" s="89">
        <v>0</v>
      </c>
      <c r="Q142" s="89">
        <v>0</v>
      </c>
      <c r="R142" s="89">
        <v>0</v>
      </c>
      <c r="S142" s="89">
        <v>377251.16687999998</v>
      </c>
      <c r="T142"/>
      <c r="U142" t="s">
        <v>155</v>
      </c>
      <c r="V142" t="s">
        <v>129</v>
      </c>
      <c r="W142" t="s">
        <v>337</v>
      </c>
      <c r="Y142" t="s">
        <v>424</v>
      </c>
      <c r="Z142" t="s">
        <v>131</v>
      </c>
      <c r="AA142" s="90">
        <v>94571</v>
      </c>
      <c r="AB142" t="s">
        <v>451</v>
      </c>
      <c r="AC142" t="s">
        <v>259</v>
      </c>
      <c r="AD142" t="s">
        <v>260</v>
      </c>
    </row>
    <row r="143" spans="2:30" x14ac:dyDescent="0.25">
      <c r="B143">
        <v>101526</v>
      </c>
      <c r="C143" t="s">
        <v>452</v>
      </c>
      <c r="D143">
        <v>2016</v>
      </c>
      <c r="F143" s="89">
        <v>1344295.3440159999</v>
      </c>
      <c r="G143" s="89" t="s">
        <v>128</v>
      </c>
      <c r="H143" s="89"/>
      <c r="I143" s="89">
        <v>1344295.3440159999</v>
      </c>
      <c r="J143" s="89">
        <v>0</v>
      </c>
      <c r="K143" s="89">
        <v>0</v>
      </c>
      <c r="L143" s="89">
        <v>0</v>
      </c>
      <c r="M143" s="89">
        <v>0</v>
      </c>
      <c r="N143" s="89"/>
      <c r="O143" s="89">
        <v>1344295.3440159999</v>
      </c>
      <c r="P143" s="89">
        <v>0</v>
      </c>
      <c r="Q143" s="89">
        <v>0</v>
      </c>
      <c r="R143" s="89">
        <v>1344295.3440159999</v>
      </c>
      <c r="S143" s="89">
        <v>0</v>
      </c>
      <c r="T143"/>
      <c r="U143" t="s">
        <v>155</v>
      </c>
      <c r="V143" t="s">
        <v>129</v>
      </c>
      <c r="W143" t="s">
        <v>337</v>
      </c>
      <c r="Y143" t="s">
        <v>247</v>
      </c>
      <c r="Z143" t="s">
        <v>131</v>
      </c>
      <c r="AA143" s="90">
        <v>94565</v>
      </c>
      <c r="AB143" t="s">
        <v>132</v>
      </c>
      <c r="AC143" t="s">
        <v>0</v>
      </c>
      <c r="AD143" t="s">
        <v>140</v>
      </c>
    </row>
    <row r="144" spans="2:30" x14ac:dyDescent="0.25">
      <c r="B144">
        <v>101527</v>
      </c>
      <c r="C144" t="s">
        <v>453</v>
      </c>
      <c r="D144">
        <v>2016</v>
      </c>
      <c r="F144" s="89">
        <v>209792.38446016799</v>
      </c>
      <c r="G144" s="89" t="s">
        <v>128</v>
      </c>
      <c r="H144" s="89"/>
      <c r="I144" s="89">
        <v>209792.38446016799</v>
      </c>
      <c r="J144" s="89">
        <v>0</v>
      </c>
      <c r="K144" s="89">
        <v>0</v>
      </c>
      <c r="L144" s="89">
        <v>0</v>
      </c>
      <c r="M144" s="89">
        <v>0</v>
      </c>
      <c r="N144" s="89"/>
      <c r="O144" s="89">
        <v>0</v>
      </c>
      <c r="P144" s="89">
        <v>0</v>
      </c>
      <c r="Q144" s="89">
        <v>0</v>
      </c>
      <c r="R144" s="89">
        <v>0</v>
      </c>
      <c r="S144" s="89">
        <v>209792.38446016799</v>
      </c>
      <c r="T144"/>
      <c r="U144" t="s">
        <v>155</v>
      </c>
      <c r="V144" t="s">
        <v>129</v>
      </c>
      <c r="W144" t="s">
        <v>337</v>
      </c>
      <c r="Y144" t="s">
        <v>454</v>
      </c>
      <c r="Z144" t="s">
        <v>131</v>
      </c>
      <c r="AA144" s="90">
        <v>95461</v>
      </c>
      <c r="AB144" t="s">
        <v>455</v>
      </c>
      <c r="AC144" t="s">
        <v>0</v>
      </c>
      <c r="AD144" t="s">
        <v>140</v>
      </c>
    </row>
    <row r="145" spans="2:30" x14ac:dyDescent="0.25">
      <c r="B145">
        <v>100178</v>
      </c>
      <c r="C145" t="s">
        <v>1514</v>
      </c>
      <c r="D145">
        <v>2016</v>
      </c>
      <c r="F145" s="89">
        <v>101417.2006992</v>
      </c>
      <c r="G145" s="89" t="s">
        <v>128</v>
      </c>
      <c r="H145" s="89"/>
      <c r="I145" s="89">
        <v>101417.2006992</v>
      </c>
      <c r="J145" s="89">
        <v>0</v>
      </c>
      <c r="K145" s="89">
        <v>0</v>
      </c>
      <c r="L145" s="89">
        <v>0</v>
      </c>
      <c r="M145" s="89">
        <v>0</v>
      </c>
      <c r="N145" s="89"/>
      <c r="O145" s="89">
        <v>101417.2006992</v>
      </c>
      <c r="P145" s="89">
        <v>0</v>
      </c>
      <c r="Q145" s="89">
        <v>0</v>
      </c>
      <c r="R145" s="89">
        <v>101417.2006992</v>
      </c>
      <c r="S145" s="89">
        <v>0</v>
      </c>
      <c r="T145"/>
      <c r="U145" t="s">
        <v>155</v>
      </c>
      <c r="V145" t="s">
        <v>129</v>
      </c>
      <c r="W145" t="s">
        <v>337</v>
      </c>
      <c r="Y145" t="s">
        <v>456</v>
      </c>
      <c r="Z145" t="s">
        <v>131</v>
      </c>
      <c r="AA145" s="90">
        <v>95020</v>
      </c>
      <c r="AB145" t="s">
        <v>132</v>
      </c>
      <c r="AC145" t="s">
        <v>0</v>
      </c>
      <c r="AD145" t="s">
        <v>133</v>
      </c>
    </row>
    <row r="146" spans="2:30" x14ac:dyDescent="0.25">
      <c r="B146">
        <v>100337</v>
      </c>
      <c r="C146" t="s">
        <v>457</v>
      </c>
      <c r="D146">
        <v>2016</v>
      </c>
      <c r="F146" s="89">
        <v>16897.4030208</v>
      </c>
      <c r="G146" s="89" t="s">
        <v>128</v>
      </c>
      <c r="H146" s="89"/>
      <c r="I146" s="89">
        <v>16897.4030208</v>
      </c>
      <c r="J146" s="89">
        <v>0</v>
      </c>
      <c r="K146" s="89">
        <v>0</v>
      </c>
      <c r="L146" s="89">
        <v>0</v>
      </c>
      <c r="M146" s="89">
        <v>0</v>
      </c>
      <c r="N146" s="89"/>
      <c r="O146" s="89">
        <v>0</v>
      </c>
      <c r="P146" s="89">
        <v>0</v>
      </c>
      <c r="Q146" s="89">
        <v>0</v>
      </c>
      <c r="R146" s="89">
        <v>0</v>
      </c>
      <c r="S146" s="89">
        <v>16897.4030208</v>
      </c>
      <c r="T146"/>
      <c r="U146" t="s">
        <v>129</v>
      </c>
      <c r="V146" t="s">
        <v>129</v>
      </c>
      <c r="Y146" t="s">
        <v>458</v>
      </c>
      <c r="Z146" t="s">
        <v>131</v>
      </c>
      <c r="AA146" s="90">
        <v>95991</v>
      </c>
      <c r="AB146" t="s">
        <v>132</v>
      </c>
      <c r="AC146" t="s">
        <v>0</v>
      </c>
      <c r="AD146" t="s">
        <v>140</v>
      </c>
    </row>
    <row r="147" spans="2:30" x14ac:dyDescent="0.25">
      <c r="B147">
        <v>101528</v>
      </c>
      <c r="C147" t="s">
        <v>459</v>
      </c>
      <c r="D147">
        <v>2016</v>
      </c>
      <c r="F147" s="89">
        <v>10740.499072000001</v>
      </c>
      <c r="G147" s="89" t="s">
        <v>128</v>
      </c>
      <c r="H147" s="89"/>
      <c r="I147" s="89">
        <v>10740.499072000001</v>
      </c>
      <c r="J147" s="89">
        <v>0</v>
      </c>
      <c r="K147" s="89">
        <v>0</v>
      </c>
      <c r="L147" s="89">
        <v>0</v>
      </c>
      <c r="M147" s="89">
        <v>0</v>
      </c>
      <c r="N147" s="89"/>
      <c r="O147" s="89">
        <v>0</v>
      </c>
      <c r="P147" s="89">
        <v>0</v>
      </c>
      <c r="Q147" s="89">
        <v>0</v>
      </c>
      <c r="R147" s="89">
        <v>0</v>
      </c>
      <c r="S147" s="89">
        <v>10740.499072000001</v>
      </c>
      <c r="T147"/>
      <c r="U147" t="s">
        <v>129</v>
      </c>
      <c r="V147" t="s">
        <v>129</v>
      </c>
      <c r="Y147" t="s">
        <v>460</v>
      </c>
      <c r="Z147" t="s">
        <v>131</v>
      </c>
      <c r="AA147" s="90">
        <v>94509</v>
      </c>
      <c r="AB147" t="s">
        <v>132</v>
      </c>
      <c r="AC147" t="s">
        <v>0</v>
      </c>
      <c r="AD147" t="s">
        <v>140</v>
      </c>
    </row>
    <row r="148" spans="2:30" x14ac:dyDescent="0.25">
      <c r="B148">
        <v>101276</v>
      </c>
      <c r="C148" t="s">
        <v>461</v>
      </c>
      <c r="D148">
        <v>2016</v>
      </c>
      <c r="F148" s="89">
        <v>9625.5412672000002</v>
      </c>
      <c r="G148" s="89" t="s">
        <v>128</v>
      </c>
      <c r="H148" s="89"/>
      <c r="I148" s="89">
        <v>9625.5412672000002</v>
      </c>
      <c r="J148" s="89">
        <v>0</v>
      </c>
      <c r="K148" s="89">
        <v>0</v>
      </c>
      <c r="L148" s="89">
        <v>0</v>
      </c>
      <c r="M148" s="89">
        <v>0</v>
      </c>
      <c r="N148" s="89"/>
      <c r="O148" s="89">
        <v>0</v>
      </c>
      <c r="P148" s="89">
        <v>0</v>
      </c>
      <c r="Q148" s="89">
        <v>0</v>
      </c>
      <c r="R148" s="89">
        <v>0</v>
      </c>
      <c r="S148" s="89">
        <v>9625.5412672000002</v>
      </c>
      <c r="T148"/>
      <c r="U148" t="s">
        <v>129</v>
      </c>
      <c r="V148" t="s">
        <v>129</v>
      </c>
      <c r="Y148" t="s">
        <v>270</v>
      </c>
      <c r="Z148" t="s">
        <v>131</v>
      </c>
      <c r="AA148" s="90">
        <v>94534</v>
      </c>
      <c r="AB148" t="s">
        <v>132</v>
      </c>
      <c r="AC148" t="s">
        <v>0</v>
      </c>
      <c r="AD148" t="s">
        <v>140</v>
      </c>
    </row>
    <row r="149" spans="2:30" x14ac:dyDescent="0.25">
      <c r="B149">
        <v>101300</v>
      </c>
      <c r="C149" t="s">
        <v>1515</v>
      </c>
      <c r="D149">
        <v>2016</v>
      </c>
      <c r="F149" s="89">
        <v>194371.22715359999</v>
      </c>
      <c r="G149" s="89" t="s">
        <v>128</v>
      </c>
      <c r="H149" s="89"/>
      <c r="I149" s="89">
        <v>194371.22715359999</v>
      </c>
      <c r="J149" s="89">
        <v>0</v>
      </c>
      <c r="K149" s="89">
        <v>0</v>
      </c>
      <c r="L149" s="89">
        <v>0</v>
      </c>
      <c r="M149" s="89">
        <v>0</v>
      </c>
      <c r="N149" s="89"/>
      <c r="O149" s="89">
        <v>194371.22715359999</v>
      </c>
      <c r="P149" s="89">
        <v>0</v>
      </c>
      <c r="Q149" s="89">
        <v>0</v>
      </c>
      <c r="R149" s="89">
        <v>194371.22715359999</v>
      </c>
      <c r="S149" s="89">
        <v>0</v>
      </c>
      <c r="T149"/>
      <c r="U149" t="s">
        <v>155</v>
      </c>
      <c r="V149" t="s">
        <v>129</v>
      </c>
      <c r="W149" t="s">
        <v>337</v>
      </c>
      <c r="Y149" t="s">
        <v>462</v>
      </c>
      <c r="Z149" t="s">
        <v>131</v>
      </c>
      <c r="AA149" s="90">
        <v>93930</v>
      </c>
      <c r="AB149" t="s">
        <v>132</v>
      </c>
      <c r="AC149" t="s">
        <v>0</v>
      </c>
      <c r="AD149" t="s">
        <v>133</v>
      </c>
    </row>
    <row r="150" spans="2:30" x14ac:dyDescent="0.25">
      <c r="B150">
        <v>101143</v>
      </c>
      <c r="C150" t="s">
        <v>463</v>
      </c>
      <c r="D150">
        <v>2016</v>
      </c>
      <c r="F150" s="89">
        <v>71527.533254399998</v>
      </c>
      <c r="G150" s="89" t="s">
        <v>128</v>
      </c>
      <c r="H150" s="89"/>
      <c r="I150" s="89">
        <v>71527.533254399998</v>
      </c>
      <c r="J150" s="89">
        <v>0</v>
      </c>
      <c r="K150" s="89">
        <v>0</v>
      </c>
      <c r="L150" s="89">
        <v>0</v>
      </c>
      <c r="M150" s="89">
        <v>0</v>
      </c>
      <c r="N150" s="89"/>
      <c r="O150" s="89">
        <v>71527.533254399998</v>
      </c>
      <c r="P150" s="89">
        <v>0</v>
      </c>
      <c r="Q150" s="89">
        <v>0</v>
      </c>
      <c r="R150" s="89">
        <v>71527.533254399998</v>
      </c>
      <c r="S150" s="89">
        <v>0</v>
      </c>
      <c r="T150"/>
      <c r="U150" t="s">
        <v>155</v>
      </c>
      <c r="V150" t="s">
        <v>129</v>
      </c>
      <c r="W150" t="s">
        <v>337</v>
      </c>
      <c r="Y150" t="s">
        <v>438</v>
      </c>
      <c r="Z150" t="s">
        <v>131</v>
      </c>
      <c r="AA150" s="90">
        <v>95143</v>
      </c>
      <c r="AB150" t="s">
        <v>132</v>
      </c>
      <c r="AC150" t="s">
        <v>0</v>
      </c>
      <c r="AD150" t="s">
        <v>140</v>
      </c>
    </row>
    <row r="151" spans="2:30" x14ac:dyDescent="0.25">
      <c r="B151">
        <v>100338</v>
      </c>
      <c r="C151" t="s">
        <v>464</v>
      </c>
      <c r="D151">
        <v>2016</v>
      </c>
      <c r="F151" s="89">
        <v>1145717.5823776</v>
      </c>
      <c r="G151" s="89" t="s">
        <v>128</v>
      </c>
      <c r="H151" s="89"/>
      <c r="I151" s="89">
        <v>1145717.5823776</v>
      </c>
      <c r="J151" s="89">
        <v>0</v>
      </c>
      <c r="K151" s="89">
        <v>0</v>
      </c>
      <c r="L151" s="89">
        <v>0</v>
      </c>
      <c r="M151" s="89">
        <v>0</v>
      </c>
      <c r="N151" s="89"/>
      <c r="O151" s="89">
        <v>1145717.5823776</v>
      </c>
      <c r="P151" s="89">
        <v>0</v>
      </c>
      <c r="Q151" s="89">
        <v>0</v>
      </c>
      <c r="R151" s="89">
        <v>1145717.5823776</v>
      </c>
      <c r="S151" s="89">
        <v>0</v>
      </c>
      <c r="T151"/>
      <c r="U151" t="s">
        <v>155</v>
      </c>
      <c r="V151" t="s">
        <v>129</v>
      </c>
      <c r="W151" t="s">
        <v>337</v>
      </c>
      <c r="Y151" t="s">
        <v>247</v>
      </c>
      <c r="Z151" t="s">
        <v>131</v>
      </c>
      <c r="AA151" s="90">
        <v>94565</v>
      </c>
      <c r="AB151" t="s">
        <v>132</v>
      </c>
      <c r="AC151" t="s">
        <v>0</v>
      </c>
      <c r="AD151" t="s">
        <v>133</v>
      </c>
    </row>
    <row r="152" spans="2:30" x14ac:dyDescent="0.25">
      <c r="B152">
        <v>100343</v>
      </c>
      <c r="C152" t="s">
        <v>465</v>
      </c>
      <c r="D152">
        <v>2016</v>
      </c>
      <c r="F152" s="89">
        <v>1047999.701752</v>
      </c>
      <c r="G152" s="89" t="s">
        <v>128</v>
      </c>
      <c r="H152" s="89"/>
      <c r="I152" s="89">
        <v>1047999.701752</v>
      </c>
      <c r="J152" s="89">
        <v>0</v>
      </c>
      <c r="K152" s="89">
        <v>0</v>
      </c>
      <c r="L152" s="89">
        <v>0</v>
      </c>
      <c r="M152" s="89">
        <v>0</v>
      </c>
      <c r="N152" s="89"/>
      <c r="O152" s="89">
        <v>1047999.701752</v>
      </c>
      <c r="P152" s="89">
        <v>0</v>
      </c>
      <c r="Q152" s="89">
        <v>0</v>
      </c>
      <c r="R152" s="89">
        <v>1047999.701752</v>
      </c>
      <c r="S152" s="89">
        <v>0</v>
      </c>
      <c r="T152"/>
      <c r="U152" t="s">
        <v>155</v>
      </c>
      <c r="V152" t="s">
        <v>129</v>
      </c>
      <c r="W152" t="s">
        <v>337</v>
      </c>
      <c r="Y152" t="s">
        <v>438</v>
      </c>
      <c r="Z152" t="s">
        <v>131</v>
      </c>
      <c r="AA152" s="90">
        <v>95013</v>
      </c>
      <c r="AB152" t="s">
        <v>132</v>
      </c>
      <c r="AC152" t="s">
        <v>0</v>
      </c>
      <c r="AD152" t="s">
        <v>140</v>
      </c>
    </row>
    <row r="153" spans="2:30" x14ac:dyDescent="0.25">
      <c r="B153">
        <v>101426</v>
      </c>
      <c r="C153" t="s">
        <v>466</v>
      </c>
      <c r="D153">
        <v>2016</v>
      </c>
      <c r="F153" s="89">
        <v>8747.3482688000004</v>
      </c>
      <c r="G153" s="89" t="s">
        <v>128</v>
      </c>
      <c r="H153" s="89"/>
      <c r="I153" s="89">
        <v>8747.3482688000004</v>
      </c>
      <c r="J153" s="89">
        <v>0</v>
      </c>
      <c r="K153" s="89">
        <v>0</v>
      </c>
      <c r="L153" s="89">
        <v>0</v>
      </c>
      <c r="M153" s="89">
        <v>0</v>
      </c>
      <c r="N153" s="89"/>
      <c r="O153" s="89">
        <v>0</v>
      </c>
      <c r="P153" s="89">
        <v>0</v>
      </c>
      <c r="Q153" s="89">
        <v>0</v>
      </c>
      <c r="R153" s="89">
        <v>0</v>
      </c>
      <c r="S153" s="89">
        <v>8747.3482688000004</v>
      </c>
      <c r="T153"/>
      <c r="U153" t="s">
        <v>129</v>
      </c>
      <c r="V153" t="s">
        <v>129</v>
      </c>
      <c r="Y153" t="s">
        <v>438</v>
      </c>
      <c r="Z153" t="s">
        <v>131</v>
      </c>
      <c r="AA153" s="90">
        <v>95134</v>
      </c>
      <c r="AB153" t="s">
        <v>132</v>
      </c>
      <c r="AC153" t="s">
        <v>0</v>
      </c>
      <c r="AD153" t="s">
        <v>140</v>
      </c>
    </row>
    <row r="154" spans="2:30" x14ac:dyDescent="0.25">
      <c r="B154">
        <v>101746</v>
      </c>
      <c r="C154" t="s">
        <v>467</v>
      </c>
      <c r="D154">
        <v>2016</v>
      </c>
      <c r="F154" s="89">
        <v>1009029.80784</v>
      </c>
      <c r="G154" s="89" t="s">
        <v>128</v>
      </c>
      <c r="H154" s="89"/>
      <c r="I154" s="89">
        <v>1009029.80784</v>
      </c>
      <c r="J154" s="89">
        <v>0</v>
      </c>
      <c r="K154" s="89">
        <v>0</v>
      </c>
      <c r="L154" s="89">
        <v>0</v>
      </c>
      <c r="M154" s="89">
        <v>0</v>
      </c>
      <c r="N154" s="89"/>
      <c r="O154" s="89">
        <v>1009029.80784</v>
      </c>
      <c r="P154" s="89">
        <v>0</v>
      </c>
      <c r="Q154" s="89">
        <v>0</v>
      </c>
      <c r="R154" s="89">
        <v>1009029.80784</v>
      </c>
      <c r="S154" s="89">
        <v>0</v>
      </c>
      <c r="T154"/>
      <c r="U154" t="s">
        <v>155</v>
      </c>
      <c r="V154" t="s">
        <v>129</v>
      </c>
      <c r="W154" t="s">
        <v>337</v>
      </c>
      <c r="Y154" t="s">
        <v>283</v>
      </c>
      <c r="Z154" t="s">
        <v>131</v>
      </c>
      <c r="AA154" s="90">
        <v>92154</v>
      </c>
      <c r="AB154" t="s">
        <v>132</v>
      </c>
      <c r="AC154" t="s">
        <v>0</v>
      </c>
      <c r="AD154" t="s">
        <v>140</v>
      </c>
    </row>
    <row r="155" spans="2:30" x14ac:dyDescent="0.25">
      <c r="B155">
        <v>100345</v>
      </c>
      <c r="C155" t="s">
        <v>468</v>
      </c>
      <c r="D155">
        <v>2016</v>
      </c>
      <c r="F155" s="89">
        <v>1641883.793664</v>
      </c>
      <c r="G155" s="89" t="s">
        <v>128</v>
      </c>
      <c r="H155" s="89"/>
      <c r="I155" s="89">
        <v>1641883.793664</v>
      </c>
      <c r="J155" s="89">
        <v>0</v>
      </c>
      <c r="K155" s="89">
        <v>0</v>
      </c>
      <c r="L155" s="89">
        <v>0</v>
      </c>
      <c r="M155" s="89">
        <v>0</v>
      </c>
      <c r="N155" s="89"/>
      <c r="O155" s="89">
        <v>1641883.793664</v>
      </c>
      <c r="P155" s="89">
        <v>0</v>
      </c>
      <c r="Q155" s="89">
        <v>0</v>
      </c>
      <c r="R155" s="89">
        <v>1641883.793664</v>
      </c>
      <c r="S155" s="89">
        <v>0</v>
      </c>
      <c r="T155"/>
      <c r="U155" t="s">
        <v>155</v>
      </c>
      <c r="V155" t="s">
        <v>129</v>
      </c>
      <c r="W155" t="s">
        <v>337</v>
      </c>
      <c r="Y155" t="s">
        <v>469</v>
      </c>
      <c r="Z155" t="s">
        <v>131</v>
      </c>
      <c r="AA155" s="90">
        <v>93243</v>
      </c>
      <c r="AB155" t="s">
        <v>132</v>
      </c>
      <c r="AC155" t="s">
        <v>0</v>
      </c>
      <c r="AD155" t="s">
        <v>140</v>
      </c>
    </row>
    <row r="156" spans="2:30" x14ac:dyDescent="0.25">
      <c r="B156">
        <v>104456</v>
      </c>
      <c r="C156" t="s">
        <v>470</v>
      </c>
      <c r="D156">
        <v>2016</v>
      </c>
      <c r="F156" s="89">
        <v>303703.64431200002</v>
      </c>
      <c r="G156" s="89" t="s">
        <v>128</v>
      </c>
      <c r="H156" s="89"/>
      <c r="I156" s="89">
        <v>303703.64431200002</v>
      </c>
      <c r="J156" s="89">
        <v>0</v>
      </c>
      <c r="K156" s="89">
        <v>0</v>
      </c>
      <c r="L156" s="89">
        <v>0</v>
      </c>
      <c r="M156" s="89">
        <v>0</v>
      </c>
      <c r="N156" s="89"/>
      <c r="O156" s="89">
        <v>303703.64431200002</v>
      </c>
      <c r="P156" s="89">
        <v>0</v>
      </c>
      <c r="Q156" s="89">
        <v>0</v>
      </c>
      <c r="R156" s="89">
        <v>303703.64431200002</v>
      </c>
      <c r="S156" s="89">
        <v>0</v>
      </c>
      <c r="T156"/>
      <c r="U156" t="s">
        <v>155</v>
      </c>
      <c r="V156" t="s">
        <v>129</v>
      </c>
      <c r="W156" t="s">
        <v>337</v>
      </c>
      <c r="Y156" t="s">
        <v>471</v>
      </c>
      <c r="Z156" t="s">
        <v>131</v>
      </c>
      <c r="AA156" s="90">
        <v>94545</v>
      </c>
      <c r="AB156" t="s">
        <v>132</v>
      </c>
      <c r="AC156" t="s">
        <v>0</v>
      </c>
      <c r="AD156" t="s">
        <v>140</v>
      </c>
    </row>
    <row r="157" spans="2:30" x14ac:dyDescent="0.25">
      <c r="B157">
        <v>101211</v>
      </c>
      <c r="C157" t="s">
        <v>472</v>
      </c>
      <c r="D157">
        <v>2016</v>
      </c>
      <c r="F157" s="89">
        <v>19350.3218672</v>
      </c>
      <c r="G157" s="89" t="s">
        <v>128</v>
      </c>
      <c r="H157" s="89"/>
      <c r="I157" s="89">
        <v>19350.3218672</v>
      </c>
      <c r="J157" s="89">
        <v>0</v>
      </c>
      <c r="K157" s="89">
        <v>0</v>
      </c>
      <c r="L157" s="89">
        <v>0</v>
      </c>
      <c r="M157" s="89">
        <v>0</v>
      </c>
      <c r="N157" s="89"/>
      <c r="O157" s="89">
        <v>19350.3218672</v>
      </c>
      <c r="P157" s="89">
        <v>0</v>
      </c>
      <c r="Q157" s="89">
        <v>0</v>
      </c>
      <c r="R157" s="89">
        <v>19350.3218672</v>
      </c>
      <c r="S157" s="89">
        <v>0</v>
      </c>
      <c r="T157"/>
      <c r="U157" t="s">
        <v>155</v>
      </c>
      <c r="V157" t="s">
        <v>129</v>
      </c>
      <c r="W157" t="s">
        <v>337</v>
      </c>
      <c r="Y157" t="s">
        <v>458</v>
      </c>
      <c r="Z157" t="s">
        <v>131</v>
      </c>
      <c r="AA157" s="90">
        <v>95993</v>
      </c>
      <c r="AB157" t="s">
        <v>132</v>
      </c>
      <c r="AC157" t="s">
        <v>0</v>
      </c>
      <c r="AD157" t="s">
        <v>140</v>
      </c>
    </row>
    <row r="158" spans="2:30" x14ac:dyDescent="0.25">
      <c r="B158">
        <v>3010</v>
      </c>
      <c r="C158" t="s">
        <v>473</v>
      </c>
      <c r="D158">
        <v>2016</v>
      </c>
      <c r="F158" s="89">
        <v>400261.79937899997</v>
      </c>
      <c r="G158" s="89" t="s">
        <v>128</v>
      </c>
      <c r="H158" s="89"/>
      <c r="I158" s="89">
        <v>0</v>
      </c>
      <c r="J158" s="89">
        <v>0</v>
      </c>
      <c r="K158" s="89">
        <v>0</v>
      </c>
      <c r="L158" s="89">
        <v>0</v>
      </c>
      <c r="M158" s="89">
        <v>400261.79937899997</v>
      </c>
      <c r="N158" s="89"/>
      <c r="O158" s="89">
        <v>0</v>
      </c>
      <c r="P158" s="89">
        <v>0</v>
      </c>
      <c r="Q158" s="89">
        <v>399404.25142099999</v>
      </c>
      <c r="R158" s="89">
        <v>399404.25142099999</v>
      </c>
      <c r="S158" s="89">
        <v>857.54795799999999</v>
      </c>
      <c r="T158"/>
      <c r="U158" t="s">
        <v>155</v>
      </c>
      <c r="V158" t="s">
        <v>129</v>
      </c>
      <c r="W158" t="s">
        <v>337</v>
      </c>
      <c r="Y158" t="s">
        <v>359</v>
      </c>
      <c r="Z158" t="s">
        <v>360</v>
      </c>
      <c r="AA158" s="90">
        <v>90120</v>
      </c>
      <c r="AB158" t="s">
        <v>158</v>
      </c>
      <c r="AC158" t="s">
        <v>136</v>
      </c>
      <c r="AD158" t="s">
        <v>137</v>
      </c>
    </row>
    <row r="159" spans="2:30" x14ac:dyDescent="0.25">
      <c r="B159">
        <v>3018</v>
      </c>
      <c r="C159" t="s">
        <v>474</v>
      </c>
      <c r="D159">
        <v>2016</v>
      </c>
      <c r="F159" s="89">
        <v>0</v>
      </c>
      <c r="G159" s="89" t="s">
        <v>128</v>
      </c>
      <c r="H159" s="89"/>
      <c r="I159" s="89">
        <v>0</v>
      </c>
      <c r="J159" s="89">
        <v>0</v>
      </c>
      <c r="K159" s="89">
        <v>0</v>
      </c>
      <c r="L159" s="89">
        <v>0</v>
      </c>
      <c r="M159" s="89">
        <v>0</v>
      </c>
      <c r="N159" s="89"/>
      <c r="O159" s="89">
        <v>0</v>
      </c>
      <c r="P159" s="89">
        <v>0</v>
      </c>
      <c r="Q159" s="89">
        <v>0</v>
      </c>
      <c r="R159" s="89">
        <v>0</v>
      </c>
      <c r="S159" s="89">
        <v>0</v>
      </c>
      <c r="T159"/>
      <c r="U159" t="s">
        <v>155</v>
      </c>
      <c r="V159" t="s">
        <v>129</v>
      </c>
      <c r="W159" t="s">
        <v>337</v>
      </c>
      <c r="Y159" t="s">
        <v>283</v>
      </c>
      <c r="Z159" t="s">
        <v>131</v>
      </c>
      <c r="AA159" s="90">
        <v>92101</v>
      </c>
      <c r="AB159" t="s">
        <v>475</v>
      </c>
      <c r="AC159" t="s">
        <v>136</v>
      </c>
      <c r="AD159" t="s">
        <v>137</v>
      </c>
    </row>
    <row r="160" spans="2:30" x14ac:dyDescent="0.25">
      <c r="B160">
        <v>101029</v>
      </c>
      <c r="C160" t="s">
        <v>476</v>
      </c>
      <c r="D160">
        <v>2016</v>
      </c>
      <c r="F160" s="89">
        <v>921269.76724808</v>
      </c>
      <c r="G160" s="89" t="s">
        <v>128</v>
      </c>
      <c r="H160" s="89"/>
      <c r="I160" s="89">
        <v>921269.76724808</v>
      </c>
      <c r="J160" s="89">
        <v>0</v>
      </c>
      <c r="K160" s="89">
        <v>0</v>
      </c>
      <c r="L160" s="89">
        <v>0</v>
      </c>
      <c r="M160" s="89">
        <v>0</v>
      </c>
      <c r="N160" s="89"/>
      <c r="O160" s="89">
        <v>921269.76724808</v>
      </c>
      <c r="P160" s="89">
        <v>0</v>
      </c>
      <c r="Q160" s="89">
        <v>0</v>
      </c>
      <c r="R160" s="89">
        <v>921269.76724808</v>
      </c>
      <c r="S160" s="89">
        <v>0</v>
      </c>
      <c r="T160"/>
      <c r="U160" t="s">
        <v>155</v>
      </c>
      <c r="V160" t="s">
        <v>155</v>
      </c>
      <c r="W160" t="s">
        <v>277</v>
      </c>
      <c r="Y160" t="s">
        <v>477</v>
      </c>
      <c r="Z160" t="s">
        <v>131</v>
      </c>
      <c r="AA160" s="90">
        <v>93501</v>
      </c>
      <c r="AB160" t="s">
        <v>478</v>
      </c>
      <c r="AC160" t="s">
        <v>479</v>
      </c>
      <c r="AD160" t="s">
        <v>480</v>
      </c>
    </row>
    <row r="161" spans="2:30" x14ac:dyDescent="0.25">
      <c r="B161">
        <v>100013</v>
      </c>
      <c r="C161" t="s">
        <v>481</v>
      </c>
      <c r="D161">
        <v>2016</v>
      </c>
      <c r="F161" s="89">
        <v>874399.44968940003</v>
      </c>
      <c r="G161" s="89" t="s">
        <v>128</v>
      </c>
      <c r="H161" s="89"/>
      <c r="I161" s="89">
        <v>874399.44968940003</v>
      </c>
      <c r="J161" s="89">
        <v>0</v>
      </c>
      <c r="K161" s="89">
        <v>0</v>
      </c>
      <c r="L161" s="89">
        <v>0</v>
      </c>
      <c r="M161" s="89">
        <v>0</v>
      </c>
      <c r="N161" s="89"/>
      <c r="O161" s="89">
        <v>874399.44968940003</v>
      </c>
      <c r="P161" s="89">
        <v>0</v>
      </c>
      <c r="Q161" s="89">
        <v>0</v>
      </c>
      <c r="R161" s="89">
        <v>874399.44968940003</v>
      </c>
      <c r="S161" s="89">
        <v>0</v>
      </c>
      <c r="T161"/>
      <c r="U161" t="s">
        <v>210</v>
      </c>
      <c r="V161" t="s">
        <v>155</v>
      </c>
      <c r="W161" t="s">
        <v>277</v>
      </c>
      <c r="Y161" t="s">
        <v>482</v>
      </c>
      <c r="Z161" t="s">
        <v>131</v>
      </c>
      <c r="AA161" s="90">
        <v>92368</v>
      </c>
      <c r="AB161" t="s">
        <v>478</v>
      </c>
      <c r="AC161" t="s">
        <v>479</v>
      </c>
      <c r="AD161" t="s">
        <v>480</v>
      </c>
    </row>
    <row r="162" spans="2:30" x14ac:dyDescent="0.25">
      <c r="B162">
        <v>100936</v>
      </c>
      <c r="C162" t="s">
        <v>483</v>
      </c>
      <c r="D162">
        <v>2016</v>
      </c>
      <c r="F162" s="89">
        <v>36764.136662811703</v>
      </c>
      <c r="G162" s="89" t="s">
        <v>128</v>
      </c>
      <c r="H162" s="89"/>
      <c r="I162" s="89">
        <v>36764.136662811703</v>
      </c>
      <c r="J162" s="89">
        <v>0</v>
      </c>
      <c r="K162" s="89">
        <v>0</v>
      </c>
      <c r="L162" s="89">
        <v>0</v>
      </c>
      <c r="M162" s="89">
        <v>0</v>
      </c>
      <c r="N162" s="89"/>
      <c r="O162" s="89">
        <v>36763.66327456</v>
      </c>
      <c r="P162" s="89">
        <v>0</v>
      </c>
      <c r="Q162" s="89">
        <v>0</v>
      </c>
      <c r="R162" s="89">
        <v>36763.66327456</v>
      </c>
      <c r="S162" s="89">
        <v>0.47338825169999998</v>
      </c>
      <c r="T162"/>
      <c r="U162" t="s">
        <v>155</v>
      </c>
      <c r="V162" t="s">
        <v>155</v>
      </c>
      <c r="W162" t="s">
        <v>156</v>
      </c>
      <c r="Y162" t="s">
        <v>484</v>
      </c>
      <c r="Z162" t="s">
        <v>131</v>
      </c>
      <c r="AA162" s="90">
        <v>95620</v>
      </c>
      <c r="AB162" t="s">
        <v>485</v>
      </c>
      <c r="AC162" t="s">
        <v>0</v>
      </c>
      <c r="AD162" t="s">
        <v>143</v>
      </c>
    </row>
    <row r="163" spans="2:30" x14ac:dyDescent="0.25">
      <c r="B163">
        <v>104199</v>
      </c>
      <c r="C163" t="s">
        <v>486</v>
      </c>
      <c r="D163">
        <v>2016</v>
      </c>
      <c r="F163" s="89">
        <v>23654.774192000001</v>
      </c>
      <c r="G163" s="89" t="s">
        <v>128</v>
      </c>
      <c r="H163" s="89"/>
      <c r="I163" s="89">
        <v>23654.774192000001</v>
      </c>
      <c r="J163" s="89">
        <v>0</v>
      </c>
      <c r="K163" s="89">
        <v>0</v>
      </c>
      <c r="L163" s="89">
        <v>0</v>
      </c>
      <c r="M163" s="89">
        <v>0</v>
      </c>
      <c r="N163" s="89"/>
      <c r="O163" s="89">
        <v>0</v>
      </c>
      <c r="P163" s="89">
        <v>0</v>
      </c>
      <c r="Q163" s="89">
        <v>0</v>
      </c>
      <c r="R163" s="89">
        <v>0</v>
      </c>
      <c r="S163" s="89">
        <v>23654.774192000001</v>
      </c>
      <c r="T163"/>
      <c r="U163" t="s">
        <v>129</v>
      </c>
      <c r="V163" t="s">
        <v>129</v>
      </c>
      <c r="Y163" t="s">
        <v>487</v>
      </c>
      <c r="Z163" t="s">
        <v>131</v>
      </c>
      <c r="AA163" s="90">
        <v>95206</v>
      </c>
      <c r="AB163" t="s">
        <v>485</v>
      </c>
      <c r="AC163" t="s">
        <v>0</v>
      </c>
      <c r="AD163" t="s">
        <v>143</v>
      </c>
    </row>
    <row r="164" spans="2:30" x14ac:dyDescent="0.25">
      <c r="B164">
        <v>104008</v>
      </c>
      <c r="C164" t="s">
        <v>488</v>
      </c>
      <c r="D164">
        <v>2016</v>
      </c>
      <c r="F164" s="89">
        <v>68599.351836319998</v>
      </c>
      <c r="G164" s="89" t="s">
        <v>128</v>
      </c>
      <c r="H164" s="89"/>
      <c r="I164" s="89">
        <v>68599.351836319998</v>
      </c>
      <c r="J164" s="89">
        <v>0</v>
      </c>
      <c r="K164" s="89">
        <v>0</v>
      </c>
      <c r="L164" s="89">
        <v>0</v>
      </c>
      <c r="M164" s="89">
        <v>0</v>
      </c>
      <c r="N164" s="89"/>
      <c r="O164" s="89">
        <v>68599.351836319998</v>
      </c>
      <c r="P164" s="89">
        <v>0</v>
      </c>
      <c r="Q164" s="89">
        <v>0</v>
      </c>
      <c r="R164" s="89">
        <v>68599.351836319998</v>
      </c>
      <c r="S164" s="89">
        <v>0</v>
      </c>
      <c r="T164"/>
      <c r="U164" t="s">
        <v>155</v>
      </c>
      <c r="V164" t="s">
        <v>129</v>
      </c>
      <c r="W164" t="s">
        <v>197</v>
      </c>
      <c r="Y164" t="s">
        <v>489</v>
      </c>
      <c r="Z164" t="s">
        <v>131</v>
      </c>
      <c r="AA164" s="90">
        <v>92805</v>
      </c>
      <c r="AB164" t="s">
        <v>132</v>
      </c>
      <c r="AC164" t="s">
        <v>1</v>
      </c>
      <c r="AD164" t="s">
        <v>140</v>
      </c>
    </row>
    <row r="165" spans="2:30" x14ac:dyDescent="0.25">
      <c r="B165">
        <v>100128</v>
      </c>
      <c r="C165" t="s">
        <v>1497</v>
      </c>
      <c r="D165">
        <v>2016</v>
      </c>
      <c r="F165" s="89">
        <v>0</v>
      </c>
      <c r="G165" s="89" t="s">
        <v>128</v>
      </c>
      <c r="H165" s="89"/>
      <c r="I165" s="89">
        <v>0</v>
      </c>
      <c r="J165" s="89">
        <v>0</v>
      </c>
      <c r="K165" s="89">
        <v>0</v>
      </c>
      <c r="L165" s="89">
        <v>0</v>
      </c>
      <c r="M165" s="89">
        <v>0</v>
      </c>
      <c r="N165" s="89"/>
      <c r="O165" s="89">
        <v>0</v>
      </c>
      <c r="P165" s="89">
        <v>0</v>
      </c>
      <c r="Q165" s="89">
        <v>0</v>
      </c>
      <c r="R165" s="89">
        <v>0</v>
      </c>
      <c r="S165" s="89">
        <v>0</v>
      </c>
      <c r="T165"/>
      <c r="U165" t="s">
        <v>129</v>
      </c>
      <c r="V165" t="s">
        <v>129</v>
      </c>
      <c r="Y165" t="s">
        <v>130</v>
      </c>
      <c r="Z165" t="s">
        <v>131</v>
      </c>
      <c r="AA165" s="90">
        <v>94305</v>
      </c>
      <c r="AB165" t="s">
        <v>132</v>
      </c>
      <c r="AC165" t="s">
        <v>0</v>
      </c>
      <c r="AD165" t="s">
        <v>133</v>
      </c>
    </row>
    <row r="166" spans="2:30" x14ac:dyDescent="0.25">
      <c r="B166">
        <v>2214</v>
      </c>
      <c r="C166" t="s">
        <v>490</v>
      </c>
      <c r="D166">
        <v>2016</v>
      </c>
      <c r="F166" s="89">
        <v>3948.2486399999998</v>
      </c>
      <c r="G166" s="89" t="s">
        <v>128</v>
      </c>
      <c r="H166" s="89"/>
      <c r="I166" s="89">
        <v>0</v>
      </c>
      <c r="J166" s="89">
        <v>0</v>
      </c>
      <c r="K166" s="89">
        <v>0</v>
      </c>
      <c r="L166" s="89">
        <v>0</v>
      </c>
      <c r="M166" s="89">
        <v>3948.2486399999998</v>
      </c>
      <c r="N166" s="89"/>
      <c r="O166" s="89">
        <v>0</v>
      </c>
      <c r="P166" s="89">
        <v>0</v>
      </c>
      <c r="Q166" s="89">
        <v>3948.2486399999998</v>
      </c>
      <c r="R166" s="89">
        <v>3948.2486399999998</v>
      </c>
      <c r="S166" s="89">
        <v>0</v>
      </c>
      <c r="T166"/>
      <c r="U166" t="s">
        <v>155</v>
      </c>
      <c r="V166" t="s">
        <v>129</v>
      </c>
      <c r="W166" t="s">
        <v>364</v>
      </c>
      <c r="Y166" t="s">
        <v>491</v>
      </c>
      <c r="Z166" t="s">
        <v>492</v>
      </c>
      <c r="AA166" s="90">
        <v>55343</v>
      </c>
      <c r="AB166" t="s">
        <v>381</v>
      </c>
      <c r="AC166" t="s">
        <v>136</v>
      </c>
      <c r="AD166" t="s">
        <v>137</v>
      </c>
    </row>
    <row r="167" spans="2:30" x14ac:dyDescent="0.25">
      <c r="B167">
        <v>104375</v>
      </c>
      <c r="C167" t="s">
        <v>493</v>
      </c>
      <c r="D167">
        <v>2016</v>
      </c>
      <c r="F167" s="89">
        <v>5270.4341066400002</v>
      </c>
      <c r="G167" s="89" t="s">
        <v>128</v>
      </c>
      <c r="H167" s="89"/>
      <c r="I167" s="89">
        <v>5270.4341066400002</v>
      </c>
      <c r="J167" s="89">
        <v>0</v>
      </c>
      <c r="K167" s="89">
        <v>0</v>
      </c>
      <c r="L167" s="89">
        <v>0</v>
      </c>
      <c r="M167" s="89">
        <v>0</v>
      </c>
      <c r="N167" s="89"/>
      <c r="O167" s="89">
        <v>0</v>
      </c>
      <c r="P167" s="89">
        <v>0</v>
      </c>
      <c r="Q167" s="89">
        <v>0</v>
      </c>
      <c r="R167" s="89">
        <v>0</v>
      </c>
      <c r="S167" s="89">
        <v>5270.4341066400002</v>
      </c>
      <c r="T167"/>
      <c r="U167" t="s">
        <v>129</v>
      </c>
      <c r="V167" t="s">
        <v>129</v>
      </c>
      <c r="Y167" t="s">
        <v>494</v>
      </c>
      <c r="Z167" t="s">
        <v>131</v>
      </c>
      <c r="AA167" s="90">
        <v>94560</v>
      </c>
      <c r="AB167" t="s">
        <v>195</v>
      </c>
      <c r="AC167" t="s">
        <v>0</v>
      </c>
      <c r="AD167" t="s">
        <v>143</v>
      </c>
    </row>
    <row r="168" spans="2:30" x14ac:dyDescent="0.25">
      <c r="B168">
        <v>101734</v>
      </c>
      <c r="C168" t="s">
        <v>495</v>
      </c>
      <c r="D168">
        <v>2016</v>
      </c>
      <c r="F168" s="89">
        <v>32623.876166133101</v>
      </c>
      <c r="G168" s="89" t="s">
        <v>128</v>
      </c>
      <c r="H168" s="89"/>
      <c r="I168" s="89">
        <v>32623.876166133101</v>
      </c>
      <c r="J168" s="89">
        <v>0</v>
      </c>
      <c r="K168" s="89">
        <v>0</v>
      </c>
      <c r="L168" s="89">
        <v>0</v>
      </c>
      <c r="M168" s="89">
        <v>0</v>
      </c>
      <c r="N168" s="89"/>
      <c r="O168" s="89">
        <v>32623.876166133101</v>
      </c>
      <c r="P168" s="89">
        <v>0</v>
      </c>
      <c r="Q168" s="89">
        <v>0</v>
      </c>
      <c r="R168" s="89">
        <v>32623.876166133101</v>
      </c>
      <c r="S168" s="89">
        <v>0</v>
      </c>
      <c r="T168"/>
      <c r="U168" t="s">
        <v>155</v>
      </c>
      <c r="V168" t="s">
        <v>155</v>
      </c>
      <c r="W168" t="s">
        <v>215</v>
      </c>
      <c r="Y168" t="s">
        <v>496</v>
      </c>
      <c r="Z168" t="s">
        <v>131</v>
      </c>
      <c r="AA168" s="90">
        <v>90723</v>
      </c>
      <c r="AB168" t="s">
        <v>497</v>
      </c>
      <c r="AC168" t="s">
        <v>0</v>
      </c>
      <c r="AD168" t="s">
        <v>143</v>
      </c>
    </row>
    <row r="169" spans="2:30" x14ac:dyDescent="0.25">
      <c r="B169">
        <v>100129</v>
      </c>
      <c r="C169" t="s">
        <v>498</v>
      </c>
      <c r="D169">
        <v>2016</v>
      </c>
      <c r="F169" s="89">
        <v>19857.002388000001</v>
      </c>
      <c r="G169" s="89" t="s">
        <v>128</v>
      </c>
      <c r="H169" s="89"/>
      <c r="I169" s="89">
        <v>19857.002388000001</v>
      </c>
      <c r="J169" s="89">
        <v>0</v>
      </c>
      <c r="K169" s="89">
        <v>0</v>
      </c>
      <c r="L169" s="89">
        <v>0</v>
      </c>
      <c r="M169" s="89">
        <v>0</v>
      </c>
      <c r="N169" s="89"/>
      <c r="O169" s="89">
        <v>19857.002388000001</v>
      </c>
      <c r="P169" s="89">
        <v>0</v>
      </c>
      <c r="Q169" s="89">
        <v>0</v>
      </c>
      <c r="R169" s="89">
        <v>19857.002388000001</v>
      </c>
      <c r="S169" s="89">
        <v>0</v>
      </c>
      <c r="T169"/>
      <c r="U169" t="s">
        <v>155</v>
      </c>
      <c r="V169" t="s">
        <v>129</v>
      </c>
      <c r="W169" t="s">
        <v>232</v>
      </c>
      <c r="Y169" t="s">
        <v>207</v>
      </c>
      <c r="Z169" t="s">
        <v>131</v>
      </c>
      <c r="AA169" s="90">
        <v>90746</v>
      </c>
      <c r="AB169" t="s">
        <v>132</v>
      </c>
      <c r="AC169" t="s">
        <v>1</v>
      </c>
      <c r="AD169" t="s">
        <v>140</v>
      </c>
    </row>
    <row r="170" spans="2:30" x14ac:dyDescent="0.25">
      <c r="B170">
        <v>104660</v>
      </c>
      <c r="C170" t="s">
        <v>499</v>
      </c>
      <c r="D170">
        <v>2016</v>
      </c>
      <c r="F170" s="89">
        <v>17344.72568</v>
      </c>
      <c r="G170" s="89" t="s">
        <v>128</v>
      </c>
      <c r="H170" s="89"/>
      <c r="I170" s="89">
        <v>17344.72568</v>
      </c>
      <c r="J170" s="89">
        <v>0</v>
      </c>
      <c r="K170" s="89">
        <v>0</v>
      </c>
      <c r="L170" s="89">
        <v>0</v>
      </c>
      <c r="M170" s="89">
        <v>0</v>
      </c>
      <c r="N170" s="89"/>
      <c r="O170" s="89">
        <v>0</v>
      </c>
      <c r="P170" s="89">
        <v>0</v>
      </c>
      <c r="Q170" s="89">
        <v>0</v>
      </c>
      <c r="R170" s="89">
        <v>0</v>
      </c>
      <c r="S170" s="89">
        <v>17344.72568</v>
      </c>
      <c r="T170"/>
      <c r="U170" t="s">
        <v>129</v>
      </c>
      <c r="V170" t="s">
        <v>129</v>
      </c>
      <c r="Y170" t="s">
        <v>320</v>
      </c>
      <c r="Z170" t="s">
        <v>131</v>
      </c>
      <c r="AA170" s="90">
        <v>90048</v>
      </c>
      <c r="AB170" t="s">
        <v>500</v>
      </c>
      <c r="AC170" t="s">
        <v>0</v>
      </c>
      <c r="AD170" t="s">
        <v>143</v>
      </c>
    </row>
    <row r="171" spans="2:30" x14ac:dyDescent="0.25">
      <c r="B171">
        <v>101476</v>
      </c>
      <c r="C171" t="s">
        <v>501</v>
      </c>
      <c r="D171">
        <v>2016</v>
      </c>
      <c r="F171" s="89">
        <v>2156577.8846575101</v>
      </c>
      <c r="G171" s="89" t="s">
        <v>128</v>
      </c>
      <c r="H171" s="89"/>
      <c r="I171" s="89">
        <v>2050054.79465751</v>
      </c>
      <c r="J171" s="89">
        <v>106523.09</v>
      </c>
      <c r="K171" s="89">
        <v>0</v>
      </c>
      <c r="L171" s="89">
        <v>0</v>
      </c>
      <c r="M171" s="89">
        <v>0</v>
      </c>
      <c r="N171" s="89"/>
      <c r="O171" s="89">
        <v>2050035.24478967</v>
      </c>
      <c r="P171" s="89">
        <v>0</v>
      </c>
      <c r="Q171" s="89">
        <v>0</v>
      </c>
      <c r="R171" s="89">
        <v>2050035.24478967</v>
      </c>
      <c r="S171" s="89">
        <v>106542.639867846</v>
      </c>
      <c r="T171"/>
      <c r="U171" t="s">
        <v>155</v>
      </c>
      <c r="V171" t="s">
        <v>155</v>
      </c>
      <c r="W171" t="s">
        <v>277</v>
      </c>
      <c r="Y171" t="s">
        <v>502</v>
      </c>
      <c r="Z171" t="s">
        <v>131</v>
      </c>
      <c r="AA171" s="90">
        <v>92307</v>
      </c>
      <c r="AB171" t="s">
        <v>478</v>
      </c>
      <c r="AC171" t="s">
        <v>479</v>
      </c>
      <c r="AD171" t="s">
        <v>480</v>
      </c>
    </row>
    <row r="172" spans="2:30" x14ac:dyDescent="0.25">
      <c r="B172">
        <v>101015</v>
      </c>
      <c r="C172" t="s">
        <v>503</v>
      </c>
      <c r="D172">
        <v>2016</v>
      </c>
      <c r="F172" s="89">
        <v>73278.676744668599</v>
      </c>
      <c r="G172" s="89" t="s">
        <v>128</v>
      </c>
      <c r="H172" s="89"/>
      <c r="I172" s="89">
        <v>22388.476744668598</v>
      </c>
      <c r="J172" s="89">
        <v>50890.2</v>
      </c>
      <c r="K172" s="89">
        <v>0</v>
      </c>
      <c r="L172" s="89">
        <v>0</v>
      </c>
      <c r="M172" s="89">
        <v>0</v>
      </c>
      <c r="N172" s="89"/>
      <c r="O172" s="89">
        <v>0</v>
      </c>
      <c r="P172" s="89">
        <v>0</v>
      </c>
      <c r="Q172" s="89">
        <v>0</v>
      </c>
      <c r="R172" s="89">
        <v>0</v>
      </c>
      <c r="S172" s="89">
        <v>73278.676744668599</v>
      </c>
      <c r="T172"/>
      <c r="U172" t="s">
        <v>155</v>
      </c>
      <c r="V172" t="s">
        <v>129</v>
      </c>
      <c r="W172" t="s">
        <v>277</v>
      </c>
      <c r="Y172" t="s">
        <v>205</v>
      </c>
      <c r="Z172" t="s">
        <v>131</v>
      </c>
      <c r="AA172" s="90">
        <v>94553</v>
      </c>
      <c r="AB172" t="s">
        <v>504</v>
      </c>
      <c r="AC172" t="s">
        <v>0</v>
      </c>
      <c r="AD172" t="s">
        <v>143</v>
      </c>
    </row>
    <row r="173" spans="2:30" x14ac:dyDescent="0.25">
      <c r="B173">
        <v>104743</v>
      </c>
      <c r="C173" t="s">
        <v>1521</v>
      </c>
      <c r="D173">
        <v>2016</v>
      </c>
      <c r="F173" s="89">
        <v>10745.355159999999</v>
      </c>
      <c r="G173" s="89" t="s">
        <v>128</v>
      </c>
      <c r="H173" s="89"/>
      <c r="I173" s="89">
        <v>10745.355159999999</v>
      </c>
      <c r="J173" s="89">
        <v>0</v>
      </c>
      <c r="K173" s="89">
        <v>0</v>
      </c>
      <c r="L173" s="89">
        <v>0</v>
      </c>
      <c r="M173" s="89">
        <v>0</v>
      </c>
      <c r="N173" s="89"/>
      <c r="O173" s="89">
        <v>0</v>
      </c>
      <c r="P173" s="89">
        <v>0</v>
      </c>
      <c r="Q173" s="89">
        <v>0</v>
      </c>
      <c r="R173" s="89">
        <v>0</v>
      </c>
      <c r="S173" s="89">
        <v>10745.355159999999</v>
      </c>
      <c r="T173"/>
      <c r="U173" t="s">
        <v>129</v>
      </c>
      <c r="V173" t="s">
        <v>129</v>
      </c>
      <c r="Y173" t="s">
        <v>625</v>
      </c>
      <c r="Z173" t="s">
        <v>131</v>
      </c>
      <c r="AA173" s="90">
        <v>93230</v>
      </c>
      <c r="AB173" t="s">
        <v>755</v>
      </c>
      <c r="AC173" t="s">
        <v>0</v>
      </c>
      <c r="AD173" t="s">
        <v>143</v>
      </c>
    </row>
    <row r="174" spans="2:30" x14ac:dyDescent="0.25">
      <c r="B174">
        <v>100917</v>
      </c>
      <c r="C174" t="s">
        <v>505</v>
      </c>
      <c r="D174">
        <v>2016</v>
      </c>
      <c r="F174" s="89">
        <v>52831.137253257999</v>
      </c>
      <c r="G174" s="89" t="s">
        <v>128</v>
      </c>
      <c r="H174" s="89"/>
      <c r="I174" s="89">
        <v>52831.137253257999</v>
      </c>
      <c r="J174" s="89">
        <v>0</v>
      </c>
      <c r="K174" s="89">
        <v>0</v>
      </c>
      <c r="L174" s="89">
        <v>0</v>
      </c>
      <c r="M174" s="89">
        <v>0</v>
      </c>
      <c r="N174" s="89"/>
      <c r="O174" s="89">
        <v>52113.776511999997</v>
      </c>
      <c r="P174" s="89">
        <v>0</v>
      </c>
      <c r="Q174" s="89">
        <v>0</v>
      </c>
      <c r="R174" s="89">
        <v>52113.776511999997</v>
      </c>
      <c r="S174" s="89">
        <v>717.36074125799996</v>
      </c>
      <c r="T174"/>
      <c r="U174" t="s">
        <v>155</v>
      </c>
      <c r="V174" t="s">
        <v>155</v>
      </c>
      <c r="W174" t="s">
        <v>232</v>
      </c>
      <c r="Y174" t="s">
        <v>265</v>
      </c>
      <c r="Z174" t="s">
        <v>131</v>
      </c>
      <c r="AA174" s="90">
        <v>93610</v>
      </c>
      <c r="AB174" t="s">
        <v>506</v>
      </c>
      <c r="AC174" t="s">
        <v>151</v>
      </c>
      <c r="AD174" t="s">
        <v>143</v>
      </c>
    </row>
    <row r="175" spans="2:30" x14ac:dyDescent="0.25">
      <c r="B175">
        <v>101520</v>
      </c>
      <c r="C175" t="s">
        <v>507</v>
      </c>
      <c r="D175">
        <v>2016</v>
      </c>
      <c r="F175" s="89">
        <v>1728.3183388800001</v>
      </c>
      <c r="G175" s="89" t="s">
        <v>128</v>
      </c>
      <c r="H175" s="89"/>
      <c r="I175" s="89">
        <v>1728.3183388800001</v>
      </c>
      <c r="J175" s="89">
        <v>0</v>
      </c>
      <c r="K175" s="89">
        <v>0</v>
      </c>
      <c r="L175" s="89">
        <v>0</v>
      </c>
      <c r="M175" s="89">
        <v>0</v>
      </c>
      <c r="N175" s="89"/>
      <c r="O175" s="89">
        <v>1728.3183388800001</v>
      </c>
      <c r="P175" s="89">
        <v>0</v>
      </c>
      <c r="Q175" s="89">
        <v>0</v>
      </c>
      <c r="R175" s="89">
        <v>1728.3183388800001</v>
      </c>
      <c r="S175" s="89">
        <v>0</v>
      </c>
      <c r="T175"/>
      <c r="U175" t="s">
        <v>155</v>
      </c>
      <c r="V175" t="s">
        <v>129</v>
      </c>
      <c r="W175" t="s">
        <v>277</v>
      </c>
      <c r="Y175" t="s">
        <v>330</v>
      </c>
      <c r="Z175" t="s">
        <v>131</v>
      </c>
      <c r="AA175" s="90">
        <v>93252</v>
      </c>
      <c r="AB175" t="s">
        <v>132</v>
      </c>
      <c r="AC175" t="s">
        <v>0</v>
      </c>
      <c r="AD175" t="s">
        <v>133</v>
      </c>
    </row>
    <row r="176" spans="2:30" x14ac:dyDescent="0.25">
      <c r="B176">
        <v>104628</v>
      </c>
      <c r="C176" t="s">
        <v>508</v>
      </c>
      <c r="D176">
        <v>2016</v>
      </c>
      <c r="F176" s="89">
        <v>5027.0910817378399</v>
      </c>
      <c r="G176" s="89" t="s">
        <v>128</v>
      </c>
      <c r="H176" s="89"/>
      <c r="I176" s="89">
        <v>0</v>
      </c>
      <c r="J176" s="89">
        <v>0</v>
      </c>
      <c r="K176" s="89">
        <v>0</v>
      </c>
      <c r="L176" s="89">
        <v>0</v>
      </c>
      <c r="M176" s="89">
        <v>5027.0910817378399</v>
      </c>
      <c r="N176" s="89"/>
      <c r="O176" s="89">
        <v>0</v>
      </c>
      <c r="P176" s="89">
        <v>0</v>
      </c>
      <c r="Q176" s="89">
        <v>189.40784687443201</v>
      </c>
      <c r="R176" s="89">
        <v>189.40784687443201</v>
      </c>
      <c r="S176" s="89">
        <v>4837.6832348633998</v>
      </c>
      <c r="T176"/>
      <c r="U176" t="s">
        <v>155</v>
      </c>
      <c r="V176" t="s">
        <v>129</v>
      </c>
      <c r="W176" t="s">
        <v>509</v>
      </c>
      <c r="Y176" t="s">
        <v>510</v>
      </c>
      <c r="Z176" t="s">
        <v>145</v>
      </c>
      <c r="AA176" s="90">
        <v>85284</v>
      </c>
      <c r="AB176" t="s">
        <v>158</v>
      </c>
      <c r="AC176" t="s">
        <v>136</v>
      </c>
      <c r="AD176" t="s">
        <v>137</v>
      </c>
    </row>
    <row r="177" spans="2:30" x14ac:dyDescent="0.25">
      <c r="B177">
        <v>104707</v>
      </c>
      <c r="C177" t="s">
        <v>511</v>
      </c>
      <c r="D177">
        <v>2016</v>
      </c>
      <c r="F177" s="89">
        <v>14772.237528191999</v>
      </c>
      <c r="G177" s="89" t="s">
        <v>128</v>
      </c>
      <c r="H177" s="89"/>
      <c r="I177" s="89">
        <v>14772.237528191999</v>
      </c>
      <c r="J177" s="89">
        <v>0</v>
      </c>
      <c r="K177" s="89">
        <v>0</v>
      </c>
      <c r="L177" s="89">
        <v>0</v>
      </c>
      <c r="M177" s="89">
        <v>0</v>
      </c>
      <c r="N177" s="89"/>
      <c r="O177" s="89">
        <v>0</v>
      </c>
      <c r="P177" s="89">
        <v>0</v>
      </c>
      <c r="Q177" s="89">
        <v>0</v>
      </c>
      <c r="R177" s="89">
        <v>0</v>
      </c>
      <c r="S177" s="89">
        <v>14772.237528191999</v>
      </c>
      <c r="T177"/>
      <c r="U177" t="s">
        <v>129</v>
      </c>
      <c r="V177" t="s">
        <v>129</v>
      </c>
      <c r="Y177" t="s">
        <v>346</v>
      </c>
      <c r="Z177" t="s">
        <v>131</v>
      </c>
      <c r="AA177" s="90">
        <v>94801</v>
      </c>
      <c r="AB177" t="s">
        <v>512</v>
      </c>
      <c r="AC177" t="s">
        <v>0</v>
      </c>
      <c r="AD177" t="s">
        <v>143</v>
      </c>
    </row>
    <row r="178" spans="2:30" x14ac:dyDescent="0.25">
      <c r="B178">
        <v>104013</v>
      </c>
      <c r="C178" t="s">
        <v>513</v>
      </c>
      <c r="D178">
        <v>2016</v>
      </c>
      <c r="F178" s="89">
        <v>174503.023254428</v>
      </c>
      <c r="G178" s="89" t="s">
        <v>128</v>
      </c>
      <c r="H178" s="89"/>
      <c r="I178" s="89">
        <v>13393.3545039527</v>
      </c>
      <c r="J178" s="89">
        <v>0</v>
      </c>
      <c r="K178" s="89">
        <v>161109.66875047499</v>
      </c>
      <c r="L178" s="89">
        <v>0</v>
      </c>
      <c r="M178" s="89">
        <v>0</v>
      </c>
      <c r="N178" s="89"/>
      <c r="O178" s="89">
        <v>13179.8400039527</v>
      </c>
      <c r="P178" s="89">
        <v>71255.721808343806</v>
      </c>
      <c r="Q178" s="89">
        <v>0</v>
      </c>
      <c r="R178" s="89">
        <v>84435.561812296597</v>
      </c>
      <c r="S178" s="89">
        <v>90067.461442131593</v>
      </c>
      <c r="T178"/>
      <c r="U178" t="s">
        <v>155</v>
      </c>
      <c r="V178" t="s">
        <v>155</v>
      </c>
      <c r="W178" t="s">
        <v>368</v>
      </c>
      <c r="Y178" t="s">
        <v>514</v>
      </c>
      <c r="Z178" t="s">
        <v>131</v>
      </c>
      <c r="AA178" s="90">
        <v>94583</v>
      </c>
      <c r="AB178" t="s">
        <v>170</v>
      </c>
      <c r="AC178" t="s">
        <v>171</v>
      </c>
      <c r="AD178" t="s">
        <v>172</v>
      </c>
    </row>
    <row r="179" spans="2:30" x14ac:dyDescent="0.25">
      <c r="B179">
        <v>104011</v>
      </c>
      <c r="C179" t="s">
        <v>515</v>
      </c>
      <c r="D179">
        <v>2016</v>
      </c>
      <c r="F179" s="89">
        <v>352630.22118568397</v>
      </c>
      <c r="G179" s="89" t="s">
        <v>128</v>
      </c>
      <c r="H179" s="89"/>
      <c r="I179" s="89">
        <v>352630.22118568397</v>
      </c>
      <c r="J179" s="89">
        <v>0</v>
      </c>
      <c r="K179" s="89">
        <v>0</v>
      </c>
      <c r="L179" s="89">
        <v>0</v>
      </c>
      <c r="M179" s="89">
        <v>0</v>
      </c>
      <c r="N179" s="89"/>
      <c r="O179" s="89">
        <v>351320.04218738299</v>
      </c>
      <c r="P179" s="89">
        <v>0</v>
      </c>
      <c r="Q179" s="89">
        <v>0</v>
      </c>
      <c r="R179" s="89">
        <v>351320.04218738299</v>
      </c>
      <c r="S179" s="89">
        <v>1310.1789983005399</v>
      </c>
      <c r="T179"/>
      <c r="U179" t="s">
        <v>155</v>
      </c>
      <c r="V179" t="s">
        <v>155</v>
      </c>
      <c r="W179" t="s">
        <v>368</v>
      </c>
      <c r="Y179" t="s">
        <v>514</v>
      </c>
      <c r="Z179" t="s">
        <v>131</v>
      </c>
      <c r="AA179" s="90">
        <v>94583</v>
      </c>
      <c r="AB179" t="s">
        <v>170</v>
      </c>
      <c r="AC179" t="s">
        <v>175</v>
      </c>
      <c r="AD179" t="s">
        <v>176</v>
      </c>
    </row>
    <row r="180" spans="2:30" x14ac:dyDescent="0.25">
      <c r="B180">
        <v>104012</v>
      </c>
      <c r="C180" t="s">
        <v>516</v>
      </c>
      <c r="D180">
        <v>2016</v>
      </c>
      <c r="F180" s="89">
        <v>2827353.6013954999</v>
      </c>
      <c r="G180" s="89" t="s">
        <v>128</v>
      </c>
      <c r="H180" s="89"/>
      <c r="I180" s="89">
        <v>2827353.6013954999</v>
      </c>
      <c r="J180" s="89">
        <v>0</v>
      </c>
      <c r="K180" s="89">
        <v>0</v>
      </c>
      <c r="L180" s="89">
        <v>0</v>
      </c>
      <c r="M180" s="89">
        <v>0</v>
      </c>
      <c r="N180" s="89"/>
      <c r="O180" s="89">
        <v>2806575.7994474899</v>
      </c>
      <c r="P180" s="89">
        <v>0</v>
      </c>
      <c r="Q180" s="89">
        <v>0</v>
      </c>
      <c r="R180" s="89">
        <v>2806575.7994474899</v>
      </c>
      <c r="S180" s="89">
        <v>20777.801948006701</v>
      </c>
      <c r="T180"/>
      <c r="U180" t="s">
        <v>155</v>
      </c>
      <c r="V180" t="s">
        <v>155</v>
      </c>
      <c r="W180" t="s">
        <v>368</v>
      </c>
      <c r="Y180" t="s">
        <v>514</v>
      </c>
      <c r="Z180" t="s">
        <v>131</v>
      </c>
      <c r="AA180" s="90">
        <v>94583</v>
      </c>
      <c r="AB180" t="s">
        <v>170</v>
      </c>
      <c r="AC180" t="s">
        <v>175</v>
      </c>
      <c r="AD180" t="s">
        <v>176</v>
      </c>
    </row>
    <row r="181" spans="2:30" x14ac:dyDescent="0.25">
      <c r="B181">
        <v>100138</v>
      </c>
      <c r="C181" t="s">
        <v>517</v>
      </c>
      <c r="D181">
        <v>2016</v>
      </c>
      <c r="F181" s="89">
        <v>3537187.13461333</v>
      </c>
      <c r="G181" s="89" t="s">
        <v>128</v>
      </c>
      <c r="H181" s="89"/>
      <c r="I181" s="89">
        <v>3537187.13461333</v>
      </c>
      <c r="J181" s="89">
        <v>0</v>
      </c>
      <c r="K181" s="89">
        <v>0</v>
      </c>
      <c r="L181" s="89">
        <v>0</v>
      </c>
      <c r="M181" s="89">
        <v>0</v>
      </c>
      <c r="N181" s="89"/>
      <c r="O181" s="89">
        <v>3536042.1814536802</v>
      </c>
      <c r="P181" s="89">
        <v>0</v>
      </c>
      <c r="Q181" s="89">
        <v>0</v>
      </c>
      <c r="R181" s="89">
        <v>3536042.1814536802</v>
      </c>
      <c r="S181" s="89">
        <v>1144.9531596412</v>
      </c>
      <c r="T181"/>
      <c r="U181" t="s">
        <v>155</v>
      </c>
      <c r="V181" t="s">
        <v>155</v>
      </c>
      <c r="W181" t="s">
        <v>368</v>
      </c>
      <c r="Y181" t="s">
        <v>157</v>
      </c>
      <c r="Z181" t="s">
        <v>131</v>
      </c>
      <c r="AA181" s="90">
        <v>90245</v>
      </c>
      <c r="AB181" t="s">
        <v>229</v>
      </c>
      <c r="AC181" t="s">
        <v>518</v>
      </c>
      <c r="AD181" t="s">
        <v>519</v>
      </c>
    </row>
    <row r="182" spans="2:30" x14ac:dyDescent="0.25">
      <c r="B182">
        <v>104223</v>
      </c>
      <c r="C182" t="s">
        <v>520</v>
      </c>
      <c r="D182">
        <v>2016</v>
      </c>
      <c r="F182" s="89">
        <v>34219094.977550998</v>
      </c>
      <c r="G182" s="89" t="s">
        <v>128</v>
      </c>
      <c r="H182" s="89"/>
      <c r="I182" s="89">
        <v>0</v>
      </c>
      <c r="J182" s="89">
        <v>0</v>
      </c>
      <c r="K182" s="89">
        <v>32030444.262550998</v>
      </c>
      <c r="L182" s="89">
        <v>2188650.7149999999</v>
      </c>
      <c r="M182" s="89">
        <v>0</v>
      </c>
      <c r="N182" s="89"/>
      <c r="O182" s="89">
        <v>0</v>
      </c>
      <c r="P182" s="89">
        <v>32030444.262550998</v>
      </c>
      <c r="Q182" s="89">
        <v>0</v>
      </c>
      <c r="R182" s="89">
        <v>32030444.262550998</v>
      </c>
      <c r="S182" s="89">
        <v>2188650.7149999999</v>
      </c>
      <c r="T182"/>
      <c r="U182" t="s">
        <v>155</v>
      </c>
      <c r="V182" t="s">
        <v>129</v>
      </c>
      <c r="W182" t="s">
        <v>368</v>
      </c>
      <c r="Y182" t="s">
        <v>514</v>
      </c>
      <c r="Z182" t="s">
        <v>131</v>
      </c>
      <c r="AA182" s="90">
        <v>94583</v>
      </c>
      <c r="AB182" t="s">
        <v>229</v>
      </c>
      <c r="AC182" t="s">
        <v>147</v>
      </c>
      <c r="AD182" t="s">
        <v>148</v>
      </c>
    </row>
    <row r="183" spans="2:30" x14ac:dyDescent="0.25">
      <c r="B183">
        <v>101384</v>
      </c>
      <c r="C183" t="s">
        <v>521</v>
      </c>
      <c r="D183">
        <v>2016</v>
      </c>
      <c r="F183" s="89">
        <v>4312256.9426509403</v>
      </c>
      <c r="G183" s="89" t="s">
        <v>128</v>
      </c>
      <c r="H183" s="89"/>
      <c r="I183" s="89">
        <v>4312256.9426509403</v>
      </c>
      <c r="J183" s="89">
        <v>0</v>
      </c>
      <c r="K183" s="89">
        <v>0</v>
      </c>
      <c r="L183" s="89">
        <v>0</v>
      </c>
      <c r="M183" s="89">
        <v>0</v>
      </c>
      <c r="N183" s="89"/>
      <c r="O183" s="89">
        <v>4309539.2291243495</v>
      </c>
      <c r="P183" s="89">
        <v>0</v>
      </c>
      <c r="Q183" s="89">
        <v>0</v>
      </c>
      <c r="R183" s="89">
        <v>4309539.2291243495</v>
      </c>
      <c r="S183" s="89">
        <v>2717.7135265946999</v>
      </c>
      <c r="T183"/>
      <c r="U183" t="s">
        <v>155</v>
      </c>
      <c r="V183" t="s">
        <v>155</v>
      </c>
      <c r="W183" t="s">
        <v>368</v>
      </c>
      <c r="Y183" t="s">
        <v>346</v>
      </c>
      <c r="Z183" t="s">
        <v>131</v>
      </c>
      <c r="AA183" s="90">
        <v>94802</v>
      </c>
      <c r="AB183" t="s">
        <v>229</v>
      </c>
      <c r="AC183" t="s">
        <v>518</v>
      </c>
      <c r="AD183" t="s">
        <v>519</v>
      </c>
    </row>
    <row r="184" spans="2:30" x14ac:dyDescent="0.25">
      <c r="B184">
        <v>104195</v>
      </c>
      <c r="C184" t="s">
        <v>522</v>
      </c>
      <c r="D184">
        <v>2016</v>
      </c>
      <c r="F184" s="89">
        <v>297087.89786839997</v>
      </c>
      <c r="G184" s="89" t="s">
        <v>128</v>
      </c>
      <c r="H184" s="89"/>
      <c r="I184" s="89">
        <v>0</v>
      </c>
      <c r="J184" s="89">
        <v>0</v>
      </c>
      <c r="K184" s="89">
        <v>297087.89786839997</v>
      </c>
      <c r="L184" s="89">
        <v>0</v>
      </c>
      <c r="M184" s="89">
        <v>0</v>
      </c>
      <c r="N184" s="89"/>
      <c r="O184" s="89">
        <v>0</v>
      </c>
      <c r="P184" s="89">
        <v>0</v>
      </c>
      <c r="Q184" s="89">
        <v>0</v>
      </c>
      <c r="R184" s="89">
        <v>0</v>
      </c>
      <c r="S184" s="89">
        <v>297087.89786839997</v>
      </c>
      <c r="T184"/>
      <c r="U184" t="s">
        <v>155</v>
      </c>
      <c r="V184" t="s">
        <v>129</v>
      </c>
      <c r="W184" t="s">
        <v>368</v>
      </c>
      <c r="Y184" t="s">
        <v>178</v>
      </c>
      <c r="Z184" t="s">
        <v>131</v>
      </c>
      <c r="AA184" s="90">
        <v>93311</v>
      </c>
      <c r="AB184" t="s">
        <v>170</v>
      </c>
      <c r="AC184" t="s">
        <v>259</v>
      </c>
      <c r="AD184" t="s">
        <v>260</v>
      </c>
    </row>
    <row r="185" spans="2:30" x14ac:dyDescent="0.25">
      <c r="B185">
        <v>104393</v>
      </c>
      <c r="C185" t="s">
        <v>523</v>
      </c>
      <c r="D185">
        <v>2016</v>
      </c>
      <c r="F185" s="89">
        <v>18500.952271999999</v>
      </c>
      <c r="G185" s="89" t="s">
        <v>128</v>
      </c>
      <c r="H185" s="89"/>
      <c r="I185" s="89">
        <v>18500.952271999999</v>
      </c>
      <c r="J185" s="89">
        <v>0</v>
      </c>
      <c r="K185" s="89">
        <v>0</v>
      </c>
      <c r="L185" s="89">
        <v>0</v>
      </c>
      <c r="M185" s="89">
        <v>0</v>
      </c>
      <c r="N185" s="89"/>
      <c r="O185" s="89">
        <v>0</v>
      </c>
      <c r="P185" s="89">
        <v>0</v>
      </c>
      <c r="Q185" s="89">
        <v>0</v>
      </c>
      <c r="R185" s="89">
        <v>0</v>
      </c>
      <c r="S185" s="89">
        <v>18500.952271999999</v>
      </c>
      <c r="T185"/>
      <c r="U185" t="s">
        <v>129</v>
      </c>
      <c r="V185" t="s">
        <v>129</v>
      </c>
      <c r="Y185" t="s">
        <v>320</v>
      </c>
      <c r="Z185" t="s">
        <v>131</v>
      </c>
      <c r="AA185" s="90">
        <v>90027</v>
      </c>
      <c r="AB185" t="s">
        <v>500</v>
      </c>
      <c r="AC185" t="s">
        <v>0</v>
      </c>
      <c r="AD185" t="s">
        <v>143</v>
      </c>
    </row>
    <row r="186" spans="2:30" x14ac:dyDescent="0.25">
      <c r="B186">
        <v>101252</v>
      </c>
      <c r="C186" t="s">
        <v>524</v>
      </c>
      <c r="D186">
        <v>2016</v>
      </c>
      <c r="F186" s="89">
        <v>5634.6994240000004</v>
      </c>
      <c r="G186" s="89" t="s">
        <v>128</v>
      </c>
      <c r="H186" s="89"/>
      <c r="I186" s="89">
        <v>5634.6994240000004</v>
      </c>
      <c r="J186" s="89">
        <v>0</v>
      </c>
      <c r="K186" s="89">
        <v>0</v>
      </c>
      <c r="L186" s="89">
        <v>0</v>
      </c>
      <c r="M186" s="89">
        <v>0</v>
      </c>
      <c r="N186" s="89"/>
      <c r="O186" s="89">
        <v>0</v>
      </c>
      <c r="P186" s="89">
        <v>0</v>
      </c>
      <c r="Q186" s="89">
        <v>0</v>
      </c>
      <c r="R186" s="89">
        <v>0</v>
      </c>
      <c r="S186" s="89">
        <v>5634.6994240000004</v>
      </c>
      <c r="T186"/>
      <c r="U186" t="s">
        <v>129</v>
      </c>
      <c r="V186" t="s">
        <v>129</v>
      </c>
      <c r="Y186" t="s">
        <v>525</v>
      </c>
      <c r="Z186" t="s">
        <v>131</v>
      </c>
      <c r="AA186" s="90">
        <v>91911</v>
      </c>
      <c r="AB186" t="s">
        <v>132</v>
      </c>
      <c r="AC186" t="s">
        <v>1</v>
      </c>
      <c r="AD186" t="s">
        <v>140</v>
      </c>
    </row>
    <row r="187" spans="2:30" x14ac:dyDescent="0.25">
      <c r="B187">
        <v>2428</v>
      </c>
      <c r="C187" t="s">
        <v>526</v>
      </c>
      <c r="D187">
        <v>2016</v>
      </c>
      <c r="F187" s="89">
        <v>0</v>
      </c>
      <c r="G187" s="89" t="s">
        <v>128</v>
      </c>
      <c r="H187" s="89"/>
      <c r="I187" s="89">
        <v>0</v>
      </c>
      <c r="J187" s="89">
        <v>0</v>
      </c>
      <c r="K187" s="89">
        <v>0</v>
      </c>
      <c r="L187" s="89">
        <v>0</v>
      </c>
      <c r="M187" s="89">
        <v>0</v>
      </c>
      <c r="N187" s="89"/>
      <c r="O187" s="89">
        <v>0</v>
      </c>
      <c r="P187" s="89">
        <v>0</v>
      </c>
      <c r="Q187" s="89">
        <v>0</v>
      </c>
      <c r="R187" s="89">
        <v>0</v>
      </c>
      <c r="S187" s="89">
        <v>0</v>
      </c>
      <c r="T187"/>
      <c r="U187" t="s">
        <v>155</v>
      </c>
      <c r="V187" t="s">
        <v>129</v>
      </c>
      <c r="W187" t="s">
        <v>156</v>
      </c>
      <c r="Y187" t="s">
        <v>359</v>
      </c>
      <c r="Z187" t="s">
        <v>360</v>
      </c>
      <c r="AA187" s="90">
        <v>77056</v>
      </c>
      <c r="AB187" t="s">
        <v>527</v>
      </c>
      <c r="AC187" t="s">
        <v>136</v>
      </c>
      <c r="AD187" t="s">
        <v>137</v>
      </c>
    </row>
    <row r="188" spans="2:30" x14ac:dyDescent="0.25">
      <c r="B188">
        <v>101221</v>
      </c>
      <c r="C188" t="s">
        <v>528</v>
      </c>
      <c r="D188">
        <v>2016</v>
      </c>
      <c r="F188" s="89">
        <v>20752.12659376</v>
      </c>
      <c r="G188" s="89" t="s">
        <v>128</v>
      </c>
      <c r="H188" s="89"/>
      <c r="I188" s="89">
        <v>20752.12659376</v>
      </c>
      <c r="J188" s="89">
        <v>0</v>
      </c>
      <c r="K188" s="89">
        <v>0</v>
      </c>
      <c r="L188" s="89">
        <v>0</v>
      </c>
      <c r="M188" s="89">
        <v>0</v>
      </c>
      <c r="N188" s="89"/>
      <c r="O188" s="89">
        <v>20752.12659376</v>
      </c>
      <c r="P188" s="89">
        <v>0</v>
      </c>
      <c r="Q188" s="89">
        <v>0</v>
      </c>
      <c r="R188" s="89">
        <v>20752.12659376</v>
      </c>
      <c r="S188" s="89">
        <v>0</v>
      </c>
      <c r="T188"/>
      <c r="U188" t="s">
        <v>155</v>
      </c>
      <c r="V188" t="s">
        <v>129</v>
      </c>
      <c r="W188" t="s">
        <v>197</v>
      </c>
      <c r="Y188" t="s">
        <v>489</v>
      </c>
      <c r="Z188" t="s">
        <v>131</v>
      </c>
      <c r="AA188" s="90">
        <v>92806</v>
      </c>
      <c r="AB188" t="s">
        <v>132</v>
      </c>
      <c r="AC188" t="s">
        <v>1</v>
      </c>
      <c r="AD188" t="s">
        <v>140</v>
      </c>
    </row>
    <row r="189" spans="2:30" x14ac:dyDescent="0.25">
      <c r="B189">
        <v>3023</v>
      </c>
      <c r="C189" t="s">
        <v>529</v>
      </c>
      <c r="D189">
        <v>2016</v>
      </c>
      <c r="F189" s="89">
        <v>1381448.8814950399</v>
      </c>
      <c r="G189" s="89" t="s">
        <v>128</v>
      </c>
      <c r="H189" s="89"/>
      <c r="I189" s="89">
        <v>0</v>
      </c>
      <c r="J189" s="89">
        <v>0</v>
      </c>
      <c r="K189" s="89">
        <v>0</v>
      </c>
      <c r="L189" s="89">
        <v>0</v>
      </c>
      <c r="M189" s="89">
        <v>1381448.8814950399</v>
      </c>
      <c r="N189" s="89"/>
      <c r="O189" s="89">
        <v>0</v>
      </c>
      <c r="P189" s="89">
        <v>0</v>
      </c>
      <c r="Q189" s="89">
        <v>1343790.4454950399</v>
      </c>
      <c r="R189" s="89">
        <v>1343790.4454950399</v>
      </c>
      <c r="S189" s="89">
        <v>37658.436000000002</v>
      </c>
      <c r="T189"/>
      <c r="U189" t="s">
        <v>155</v>
      </c>
      <c r="V189" t="s">
        <v>129</v>
      </c>
      <c r="W189" t="s">
        <v>197</v>
      </c>
      <c r="Y189" t="s">
        <v>489</v>
      </c>
      <c r="Z189" t="s">
        <v>131</v>
      </c>
      <c r="AA189" s="90">
        <v>92805</v>
      </c>
      <c r="AB189" t="s">
        <v>381</v>
      </c>
      <c r="AC189" t="s">
        <v>136</v>
      </c>
      <c r="AD189" t="s">
        <v>137</v>
      </c>
    </row>
    <row r="190" spans="2:30" x14ac:dyDescent="0.25">
      <c r="B190">
        <v>3025</v>
      </c>
      <c r="C190" t="s">
        <v>530</v>
      </c>
      <c r="D190">
        <v>2016</v>
      </c>
      <c r="F190" s="89">
        <v>126466.280207736</v>
      </c>
      <c r="G190" s="89" t="s">
        <v>128</v>
      </c>
      <c r="H190" s="89"/>
      <c r="I190" s="89">
        <v>0</v>
      </c>
      <c r="J190" s="89">
        <v>0</v>
      </c>
      <c r="K190" s="89">
        <v>0</v>
      </c>
      <c r="L190" s="89">
        <v>0</v>
      </c>
      <c r="M190" s="89">
        <v>126466.280207736</v>
      </c>
      <c r="N190" s="89"/>
      <c r="O190" s="89">
        <v>0</v>
      </c>
      <c r="P190" s="89">
        <v>0</v>
      </c>
      <c r="Q190" s="89">
        <v>126466.280207736</v>
      </c>
      <c r="R190" s="89">
        <v>126466.280207736</v>
      </c>
      <c r="S190" s="89">
        <v>0</v>
      </c>
      <c r="T190"/>
      <c r="U190" t="s">
        <v>155</v>
      </c>
      <c r="V190" t="s">
        <v>129</v>
      </c>
      <c r="W190" t="s">
        <v>235</v>
      </c>
      <c r="Y190" t="s">
        <v>531</v>
      </c>
      <c r="Z190" t="s">
        <v>131</v>
      </c>
      <c r="AA190" s="90">
        <v>92220</v>
      </c>
      <c r="AB190" t="s">
        <v>158</v>
      </c>
      <c r="AC190" t="s">
        <v>136</v>
      </c>
      <c r="AD190" t="s">
        <v>137</v>
      </c>
    </row>
    <row r="191" spans="2:30" x14ac:dyDescent="0.25">
      <c r="B191">
        <v>3029</v>
      </c>
      <c r="C191" t="s">
        <v>532</v>
      </c>
      <c r="D191">
        <v>2016</v>
      </c>
      <c r="F191" s="89">
        <v>0</v>
      </c>
      <c r="G191" s="89" t="s">
        <v>128</v>
      </c>
      <c r="H191" s="89"/>
      <c r="I191" s="89">
        <v>0</v>
      </c>
      <c r="J191" s="89">
        <v>0</v>
      </c>
      <c r="K191" s="89">
        <v>0</v>
      </c>
      <c r="L191" s="89">
        <v>0</v>
      </c>
      <c r="M191" s="89">
        <v>0</v>
      </c>
      <c r="N191" s="89"/>
      <c r="O191" s="89">
        <v>0</v>
      </c>
      <c r="P191" s="89">
        <v>0</v>
      </c>
      <c r="Q191" s="89">
        <v>0</v>
      </c>
      <c r="R191" s="89">
        <v>0</v>
      </c>
      <c r="S191" s="89">
        <v>0</v>
      </c>
      <c r="T191"/>
      <c r="U191" t="s">
        <v>129</v>
      </c>
      <c r="V191" t="s">
        <v>129</v>
      </c>
      <c r="Y191" t="s">
        <v>533</v>
      </c>
      <c r="Z191" t="s">
        <v>131</v>
      </c>
      <c r="AA191" s="90">
        <v>90703</v>
      </c>
      <c r="AB191" t="s">
        <v>158</v>
      </c>
      <c r="AC191" t="s">
        <v>136</v>
      </c>
      <c r="AD191" t="s">
        <v>137</v>
      </c>
    </row>
    <row r="192" spans="2:30" x14ac:dyDescent="0.25">
      <c r="B192">
        <v>3031</v>
      </c>
      <c r="C192" t="s">
        <v>534</v>
      </c>
      <c r="D192">
        <v>2016</v>
      </c>
      <c r="F192" s="89">
        <v>194568.88142220399</v>
      </c>
      <c r="G192" s="89" t="s">
        <v>128</v>
      </c>
      <c r="H192" s="89"/>
      <c r="I192" s="89">
        <v>0</v>
      </c>
      <c r="J192" s="89">
        <v>0</v>
      </c>
      <c r="K192" s="89">
        <v>0</v>
      </c>
      <c r="L192" s="89">
        <v>0</v>
      </c>
      <c r="M192" s="89">
        <v>194568.88142220399</v>
      </c>
      <c r="N192" s="89"/>
      <c r="O192" s="89">
        <v>0</v>
      </c>
      <c r="P192" s="89">
        <v>0</v>
      </c>
      <c r="Q192" s="89">
        <v>194568.88142220399</v>
      </c>
      <c r="R192" s="89">
        <v>194568.88142220399</v>
      </c>
      <c r="S192" s="89">
        <v>0</v>
      </c>
      <c r="T192"/>
      <c r="U192" t="s">
        <v>155</v>
      </c>
      <c r="V192" t="s">
        <v>129</v>
      </c>
      <c r="W192" t="s">
        <v>197</v>
      </c>
      <c r="Y192" t="s">
        <v>535</v>
      </c>
      <c r="Z192" t="s">
        <v>131</v>
      </c>
      <c r="AA192" s="90">
        <v>92324</v>
      </c>
      <c r="AB192" t="s">
        <v>158</v>
      </c>
      <c r="AC192" t="s">
        <v>136</v>
      </c>
      <c r="AD192" t="s">
        <v>137</v>
      </c>
    </row>
    <row r="193" spans="2:30" x14ac:dyDescent="0.25">
      <c r="B193">
        <v>101667</v>
      </c>
      <c r="C193" t="s">
        <v>536</v>
      </c>
      <c r="D193">
        <v>2016</v>
      </c>
      <c r="F193" s="89">
        <v>3582.9525920000001</v>
      </c>
      <c r="G193" s="89" t="s">
        <v>128</v>
      </c>
      <c r="H193" s="89"/>
      <c r="I193" s="89">
        <v>3582.9525920000001</v>
      </c>
      <c r="J193" s="89">
        <v>0</v>
      </c>
      <c r="K193" s="89">
        <v>0</v>
      </c>
      <c r="L193" s="89">
        <v>0</v>
      </c>
      <c r="M193" s="89">
        <v>0</v>
      </c>
      <c r="N193" s="89"/>
      <c r="O193" s="89">
        <v>0</v>
      </c>
      <c r="P193" s="89">
        <v>0</v>
      </c>
      <c r="Q193" s="89">
        <v>0</v>
      </c>
      <c r="R193" s="89">
        <v>0</v>
      </c>
      <c r="S193" s="89">
        <v>3582.9525920000001</v>
      </c>
      <c r="T193"/>
      <c r="U193" t="s">
        <v>129</v>
      </c>
      <c r="V193" t="s">
        <v>129</v>
      </c>
      <c r="Y193" t="s">
        <v>535</v>
      </c>
      <c r="Z193" t="s">
        <v>131</v>
      </c>
      <c r="AA193" s="90">
        <v>92324</v>
      </c>
      <c r="AB193" t="s">
        <v>132</v>
      </c>
      <c r="AC193" t="s">
        <v>1</v>
      </c>
      <c r="AD193" t="s">
        <v>140</v>
      </c>
    </row>
    <row r="194" spans="2:30" x14ac:dyDescent="0.25">
      <c r="B194">
        <v>3032</v>
      </c>
      <c r="C194" t="s">
        <v>537</v>
      </c>
      <c r="D194">
        <v>2016</v>
      </c>
      <c r="F194" s="89">
        <v>0</v>
      </c>
      <c r="G194" s="89" t="s">
        <v>128</v>
      </c>
      <c r="H194" s="89"/>
      <c r="I194" s="89">
        <v>0</v>
      </c>
      <c r="J194" s="89">
        <v>0</v>
      </c>
      <c r="K194" s="89">
        <v>0</v>
      </c>
      <c r="L194" s="89">
        <v>0</v>
      </c>
      <c r="M194" s="89">
        <v>0</v>
      </c>
      <c r="N194" s="89"/>
      <c r="O194" s="89">
        <v>0</v>
      </c>
      <c r="P194" s="89">
        <v>0</v>
      </c>
      <c r="Q194" s="89">
        <v>0</v>
      </c>
      <c r="R194" s="89">
        <v>0</v>
      </c>
      <c r="S194" s="89">
        <v>0</v>
      </c>
      <c r="T194"/>
      <c r="U194" t="s">
        <v>155</v>
      </c>
      <c r="V194" t="s">
        <v>129</v>
      </c>
      <c r="W194" t="s">
        <v>215</v>
      </c>
      <c r="Y194" t="s">
        <v>160</v>
      </c>
      <c r="Z194" t="s">
        <v>131</v>
      </c>
      <c r="AA194" s="90">
        <v>92880</v>
      </c>
      <c r="AB194" t="s">
        <v>158</v>
      </c>
      <c r="AC194" t="s">
        <v>136</v>
      </c>
      <c r="AD194" t="s">
        <v>137</v>
      </c>
    </row>
    <row r="195" spans="2:30" x14ac:dyDescent="0.25">
      <c r="B195">
        <v>104642</v>
      </c>
      <c r="C195" t="s">
        <v>538</v>
      </c>
      <c r="D195">
        <v>2016</v>
      </c>
      <c r="F195" s="89">
        <v>13377.450385599999</v>
      </c>
      <c r="G195" s="89" t="s">
        <v>128</v>
      </c>
      <c r="H195" s="89"/>
      <c r="I195" s="89">
        <v>13377.450385599999</v>
      </c>
      <c r="J195" s="89">
        <v>0</v>
      </c>
      <c r="K195" s="89">
        <v>0</v>
      </c>
      <c r="L195" s="89">
        <v>0</v>
      </c>
      <c r="M195" s="89">
        <v>0</v>
      </c>
      <c r="N195" s="89"/>
      <c r="O195" s="89">
        <v>0</v>
      </c>
      <c r="P195" s="89">
        <v>0</v>
      </c>
      <c r="Q195" s="89">
        <v>0</v>
      </c>
      <c r="R195" s="89">
        <v>0</v>
      </c>
      <c r="S195" s="89">
        <v>13377.450385599999</v>
      </c>
      <c r="T195"/>
      <c r="U195" t="s">
        <v>129</v>
      </c>
      <c r="V195" t="s">
        <v>129</v>
      </c>
      <c r="Y195" t="s">
        <v>539</v>
      </c>
      <c r="Z195" t="s">
        <v>131</v>
      </c>
      <c r="AA195" s="90">
        <v>91010</v>
      </c>
      <c r="AB195" t="s">
        <v>500</v>
      </c>
      <c r="AC195" t="s">
        <v>0</v>
      </c>
      <c r="AD195" t="s">
        <v>143</v>
      </c>
    </row>
    <row r="196" spans="2:30" x14ac:dyDescent="0.25">
      <c r="B196">
        <v>3030</v>
      </c>
      <c r="C196" t="s">
        <v>540</v>
      </c>
      <c r="D196">
        <v>2016</v>
      </c>
      <c r="F196" s="89">
        <v>0</v>
      </c>
      <c r="G196" s="89" t="s">
        <v>128</v>
      </c>
      <c r="H196" s="89"/>
      <c r="I196" s="89">
        <v>0</v>
      </c>
      <c r="J196" s="89">
        <v>0</v>
      </c>
      <c r="K196" s="89">
        <v>0</v>
      </c>
      <c r="L196" s="89">
        <v>0</v>
      </c>
      <c r="M196" s="89">
        <v>0</v>
      </c>
      <c r="N196" s="89"/>
      <c r="O196" s="89">
        <v>0</v>
      </c>
      <c r="P196" s="89">
        <v>0</v>
      </c>
      <c r="Q196" s="89">
        <v>0</v>
      </c>
      <c r="R196" s="89">
        <v>0</v>
      </c>
      <c r="S196" s="89">
        <v>0</v>
      </c>
      <c r="T196"/>
      <c r="U196" t="s">
        <v>129</v>
      </c>
      <c r="V196" t="s">
        <v>129</v>
      </c>
      <c r="Y196" t="s">
        <v>540</v>
      </c>
      <c r="Z196" t="s">
        <v>131</v>
      </c>
      <c r="AA196" s="90">
        <v>91744</v>
      </c>
      <c r="AB196" t="s">
        <v>158</v>
      </c>
      <c r="AC196" t="s">
        <v>136</v>
      </c>
      <c r="AD196" t="s">
        <v>137</v>
      </c>
    </row>
    <row r="197" spans="2:30" x14ac:dyDescent="0.25">
      <c r="B197">
        <v>104641</v>
      </c>
      <c r="C197" t="s">
        <v>541</v>
      </c>
      <c r="D197">
        <v>2016</v>
      </c>
      <c r="F197" s="89">
        <v>0</v>
      </c>
      <c r="G197" s="89" t="s">
        <v>128</v>
      </c>
      <c r="H197" s="89"/>
      <c r="I197" s="89">
        <v>0</v>
      </c>
      <c r="J197" s="89">
        <v>0</v>
      </c>
      <c r="K197" s="89">
        <v>0</v>
      </c>
      <c r="L197" s="89">
        <v>0</v>
      </c>
      <c r="M197" s="89">
        <v>0</v>
      </c>
      <c r="N197" s="89"/>
      <c r="O197" s="89">
        <v>0</v>
      </c>
      <c r="P197" s="89">
        <v>0</v>
      </c>
      <c r="Q197" s="89">
        <v>0</v>
      </c>
      <c r="R197" s="89">
        <v>0</v>
      </c>
      <c r="S197" s="89">
        <v>0</v>
      </c>
      <c r="T197"/>
      <c r="U197" t="s">
        <v>129</v>
      </c>
      <c r="V197" t="s">
        <v>129</v>
      </c>
      <c r="Y197" t="s">
        <v>542</v>
      </c>
      <c r="Z197" t="s">
        <v>131</v>
      </c>
      <c r="AA197" s="90">
        <v>93534</v>
      </c>
      <c r="AB197" t="s">
        <v>158</v>
      </c>
      <c r="AC197" t="s">
        <v>136</v>
      </c>
      <c r="AD197" t="s">
        <v>137</v>
      </c>
    </row>
    <row r="198" spans="2:30" x14ac:dyDescent="0.25">
      <c r="B198">
        <v>3041</v>
      </c>
      <c r="C198" t="s">
        <v>543</v>
      </c>
      <c r="D198">
        <v>2016</v>
      </c>
      <c r="F198" s="89">
        <v>0</v>
      </c>
      <c r="G198" s="89" t="s">
        <v>128</v>
      </c>
      <c r="H198" s="89"/>
      <c r="I198" s="89">
        <v>0</v>
      </c>
      <c r="J198" s="89">
        <v>0</v>
      </c>
      <c r="K198" s="89">
        <v>0</v>
      </c>
      <c r="L198" s="89">
        <v>0</v>
      </c>
      <c r="M198" s="89">
        <v>0</v>
      </c>
      <c r="N198" s="89"/>
      <c r="O198" s="89">
        <v>0</v>
      </c>
      <c r="P198" s="89">
        <v>0</v>
      </c>
      <c r="Q198" s="89">
        <v>0</v>
      </c>
      <c r="R198" s="89">
        <v>0</v>
      </c>
      <c r="S198" s="89">
        <v>0</v>
      </c>
      <c r="T198"/>
      <c r="U198" t="s">
        <v>129</v>
      </c>
      <c r="V198" t="s">
        <v>129</v>
      </c>
      <c r="Y198" t="s">
        <v>544</v>
      </c>
      <c r="Z198" t="s">
        <v>131</v>
      </c>
      <c r="AA198" s="90">
        <v>93438</v>
      </c>
      <c r="AB198" t="s">
        <v>158</v>
      </c>
      <c r="AC198" t="s">
        <v>136</v>
      </c>
      <c r="AD198" t="s">
        <v>137</v>
      </c>
    </row>
    <row r="199" spans="2:30" x14ac:dyDescent="0.25">
      <c r="B199">
        <v>3047</v>
      </c>
      <c r="C199" t="s">
        <v>545</v>
      </c>
      <c r="D199">
        <v>2016</v>
      </c>
      <c r="F199" s="89">
        <v>9856.2151200000008</v>
      </c>
      <c r="G199" s="89" t="s">
        <v>128</v>
      </c>
      <c r="H199" s="89"/>
      <c r="I199" s="89">
        <v>0</v>
      </c>
      <c r="J199" s="89">
        <v>0</v>
      </c>
      <c r="K199" s="89">
        <v>0</v>
      </c>
      <c r="L199" s="89">
        <v>0</v>
      </c>
      <c r="M199" s="89">
        <v>9856.2151200000008</v>
      </c>
      <c r="N199" s="89"/>
      <c r="O199" s="89">
        <v>0</v>
      </c>
      <c r="P199" s="89">
        <v>0</v>
      </c>
      <c r="Q199" s="89">
        <v>9856.2151200000008</v>
      </c>
      <c r="R199" s="89">
        <v>9856.2151200000008</v>
      </c>
      <c r="S199" s="89">
        <v>0</v>
      </c>
      <c r="T199"/>
      <c r="U199" t="s">
        <v>155</v>
      </c>
      <c r="V199" t="s">
        <v>129</v>
      </c>
      <c r="W199" t="s">
        <v>297</v>
      </c>
      <c r="Y199" t="s">
        <v>546</v>
      </c>
      <c r="Z199" t="s">
        <v>131</v>
      </c>
      <c r="AA199" s="90">
        <v>92363</v>
      </c>
      <c r="AB199" t="s">
        <v>158</v>
      </c>
      <c r="AC199" t="s">
        <v>136</v>
      </c>
      <c r="AD199" t="s">
        <v>137</v>
      </c>
    </row>
    <row r="200" spans="2:30" x14ac:dyDescent="0.25">
      <c r="B200">
        <v>3048</v>
      </c>
      <c r="C200" t="s">
        <v>547</v>
      </c>
      <c r="D200">
        <v>2016</v>
      </c>
      <c r="F200" s="89">
        <v>0</v>
      </c>
      <c r="G200" s="89" t="s">
        <v>128</v>
      </c>
      <c r="H200" s="89"/>
      <c r="I200" s="89">
        <v>0</v>
      </c>
      <c r="J200" s="89">
        <v>0</v>
      </c>
      <c r="K200" s="89">
        <v>0</v>
      </c>
      <c r="L200" s="89">
        <v>0</v>
      </c>
      <c r="M200" s="89">
        <v>0</v>
      </c>
      <c r="N200" s="89"/>
      <c r="O200" s="89">
        <v>0</v>
      </c>
      <c r="P200" s="89">
        <v>0</v>
      </c>
      <c r="Q200" s="89">
        <v>0</v>
      </c>
      <c r="R200" s="89">
        <v>0</v>
      </c>
      <c r="S200" s="89">
        <v>0</v>
      </c>
      <c r="T200"/>
      <c r="U200" t="s">
        <v>129</v>
      </c>
      <c r="V200" t="s">
        <v>129</v>
      </c>
      <c r="Y200" t="s">
        <v>548</v>
      </c>
      <c r="Z200" t="s">
        <v>131</v>
      </c>
      <c r="AA200" s="90">
        <v>94301</v>
      </c>
      <c r="AB200" t="s">
        <v>158</v>
      </c>
      <c r="AC200" t="s">
        <v>136</v>
      </c>
      <c r="AD200" t="s">
        <v>137</v>
      </c>
    </row>
    <row r="201" spans="2:30" x14ac:dyDescent="0.25">
      <c r="B201">
        <v>5011</v>
      </c>
      <c r="C201" t="s">
        <v>549</v>
      </c>
      <c r="D201">
        <v>2016</v>
      </c>
      <c r="F201" s="89">
        <v>145818.18588800001</v>
      </c>
      <c r="G201" s="89" t="s">
        <v>128</v>
      </c>
      <c r="H201" s="89"/>
      <c r="I201" s="89">
        <v>0</v>
      </c>
      <c r="J201" s="89">
        <v>0</v>
      </c>
      <c r="K201" s="89">
        <v>145818.18588800001</v>
      </c>
      <c r="L201" s="89">
        <v>0</v>
      </c>
      <c r="M201" s="89">
        <v>0</v>
      </c>
      <c r="N201" s="89"/>
      <c r="O201" s="89">
        <v>0</v>
      </c>
      <c r="P201" s="89">
        <v>145818.18588800001</v>
      </c>
      <c r="Q201" s="89">
        <v>0</v>
      </c>
      <c r="R201" s="89">
        <v>145818.18588800001</v>
      </c>
      <c r="S201" s="89">
        <v>0</v>
      </c>
      <c r="T201"/>
      <c r="U201" t="s">
        <v>155</v>
      </c>
      <c r="V201" t="s">
        <v>129</v>
      </c>
      <c r="W201" t="s">
        <v>204</v>
      </c>
      <c r="Y201" t="s">
        <v>548</v>
      </c>
      <c r="Z201" t="s">
        <v>131</v>
      </c>
      <c r="AA201" s="90">
        <v>94301</v>
      </c>
      <c r="AB201" t="s">
        <v>550</v>
      </c>
      <c r="AC201" t="s">
        <v>259</v>
      </c>
      <c r="AD201" t="s">
        <v>260</v>
      </c>
    </row>
    <row r="202" spans="2:30" x14ac:dyDescent="0.25">
      <c r="B202">
        <v>104399</v>
      </c>
      <c r="C202" t="s">
        <v>551</v>
      </c>
      <c r="D202">
        <v>2016</v>
      </c>
      <c r="F202" s="89">
        <v>23818.221614735499</v>
      </c>
      <c r="G202" s="89" t="s">
        <v>128</v>
      </c>
      <c r="H202" s="89"/>
      <c r="I202" s="89">
        <v>411.32161473551599</v>
      </c>
      <c r="J202" s="89">
        <v>23406.9</v>
      </c>
      <c r="K202" s="89">
        <v>0</v>
      </c>
      <c r="L202" s="89">
        <v>0</v>
      </c>
      <c r="M202" s="89">
        <v>0</v>
      </c>
      <c r="N202" s="89"/>
      <c r="O202" s="89">
        <v>0</v>
      </c>
      <c r="P202" s="89">
        <v>0</v>
      </c>
      <c r="Q202" s="89">
        <v>0</v>
      </c>
      <c r="R202" s="89">
        <v>0</v>
      </c>
      <c r="S202" s="89">
        <v>23818.221614735499</v>
      </c>
      <c r="T202"/>
      <c r="U202" t="s">
        <v>129</v>
      </c>
      <c r="V202" t="s">
        <v>129</v>
      </c>
      <c r="Y202" t="s">
        <v>548</v>
      </c>
      <c r="Z202" t="s">
        <v>131</v>
      </c>
      <c r="AA202" s="90">
        <v>94303</v>
      </c>
      <c r="AB202" t="s">
        <v>504</v>
      </c>
      <c r="AC202" t="s">
        <v>0</v>
      </c>
      <c r="AD202" t="s">
        <v>143</v>
      </c>
    </row>
    <row r="203" spans="2:30" x14ac:dyDescent="0.25">
      <c r="B203">
        <v>3056</v>
      </c>
      <c r="C203" t="s">
        <v>552</v>
      </c>
      <c r="D203">
        <v>2016</v>
      </c>
      <c r="F203" s="89">
        <v>543993.99722902302</v>
      </c>
      <c r="G203" s="89" t="s">
        <v>128</v>
      </c>
      <c r="H203" s="89"/>
      <c r="I203" s="89">
        <v>0</v>
      </c>
      <c r="J203" s="89">
        <v>0</v>
      </c>
      <c r="K203" s="89">
        <v>0</v>
      </c>
      <c r="L203" s="89">
        <v>0</v>
      </c>
      <c r="M203" s="89">
        <v>543993.99722902302</v>
      </c>
      <c r="N203" s="89"/>
      <c r="O203" s="89">
        <v>0</v>
      </c>
      <c r="P203" s="89">
        <v>0</v>
      </c>
      <c r="Q203" s="89">
        <v>543993.99722902302</v>
      </c>
      <c r="R203" s="89">
        <v>543993.99722902302</v>
      </c>
      <c r="S203" s="89">
        <v>0</v>
      </c>
      <c r="T203"/>
      <c r="U203" t="s">
        <v>155</v>
      </c>
      <c r="V203" t="s">
        <v>129</v>
      </c>
      <c r="W203" t="s">
        <v>197</v>
      </c>
      <c r="Y203" t="s">
        <v>553</v>
      </c>
      <c r="Z203" t="s">
        <v>131</v>
      </c>
      <c r="AA203" s="90">
        <v>92501</v>
      </c>
      <c r="AB203" t="s">
        <v>158</v>
      </c>
      <c r="AC203" t="s">
        <v>136</v>
      </c>
      <c r="AD203" t="s">
        <v>137</v>
      </c>
    </row>
    <row r="204" spans="2:30" x14ac:dyDescent="0.25">
      <c r="B204">
        <v>104547</v>
      </c>
      <c r="C204" t="s">
        <v>554</v>
      </c>
      <c r="D204">
        <v>2016</v>
      </c>
      <c r="F204" s="89">
        <v>7172.1143259088403</v>
      </c>
      <c r="G204" s="89" t="s">
        <v>128</v>
      </c>
      <c r="H204" s="89"/>
      <c r="I204" s="89">
        <v>110.014325908847</v>
      </c>
      <c r="J204" s="89">
        <v>7062.1</v>
      </c>
      <c r="K204" s="89">
        <v>0</v>
      </c>
      <c r="L204" s="89">
        <v>0</v>
      </c>
      <c r="M204" s="89">
        <v>0</v>
      </c>
      <c r="N204" s="89"/>
      <c r="O204" s="89">
        <v>0</v>
      </c>
      <c r="P204" s="89">
        <v>0</v>
      </c>
      <c r="Q204" s="89">
        <v>0</v>
      </c>
      <c r="R204" s="89">
        <v>0</v>
      </c>
      <c r="S204" s="89">
        <v>7172.1143259088403</v>
      </c>
      <c r="T204"/>
      <c r="U204" t="s">
        <v>129</v>
      </c>
      <c r="V204" t="s">
        <v>129</v>
      </c>
      <c r="Y204" t="s">
        <v>283</v>
      </c>
      <c r="Z204" t="s">
        <v>131</v>
      </c>
      <c r="AA204" s="90">
        <v>92121</v>
      </c>
      <c r="AB204" t="s">
        <v>504</v>
      </c>
      <c r="AC204" t="s">
        <v>0</v>
      </c>
      <c r="AD204" t="s">
        <v>143</v>
      </c>
    </row>
    <row r="205" spans="2:30" x14ac:dyDescent="0.25">
      <c r="B205">
        <v>101564</v>
      </c>
      <c r="C205" t="s">
        <v>555</v>
      </c>
      <c r="D205">
        <v>2016</v>
      </c>
      <c r="F205" s="89">
        <v>22581.9048974301</v>
      </c>
      <c r="G205" s="89" t="s">
        <v>128</v>
      </c>
      <c r="H205" s="89"/>
      <c r="I205" s="89">
        <v>160.40489743016701</v>
      </c>
      <c r="J205" s="89">
        <v>22421.5</v>
      </c>
      <c r="K205" s="89">
        <v>0</v>
      </c>
      <c r="L205" s="89">
        <v>0</v>
      </c>
      <c r="M205" s="89">
        <v>0</v>
      </c>
      <c r="N205" s="89"/>
      <c r="O205" s="89">
        <v>0</v>
      </c>
      <c r="P205" s="89">
        <v>0</v>
      </c>
      <c r="Q205" s="89">
        <v>0</v>
      </c>
      <c r="R205" s="89">
        <v>0</v>
      </c>
      <c r="S205" s="89">
        <v>22581.9048974301</v>
      </c>
      <c r="T205"/>
      <c r="U205" t="s">
        <v>129</v>
      </c>
      <c r="V205" t="s">
        <v>129</v>
      </c>
      <c r="Y205" t="s">
        <v>283</v>
      </c>
      <c r="Z205" t="s">
        <v>131</v>
      </c>
      <c r="AA205" s="90">
        <v>92106</v>
      </c>
      <c r="AB205" t="s">
        <v>504</v>
      </c>
      <c r="AC205" t="s">
        <v>0</v>
      </c>
      <c r="AD205" t="s">
        <v>143</v>
      </c>
    </row>
    <row r="206" spans="2:30" x14ac:dyDescent="0.25">
      <c r="B206">
        <v>104330</v>
      </c>
      <c r="C206" t="s">
        <v>556</v>
      </c>
      <c r="D206">
        <v>2016</v>
      </c>
      <c r="F206" s="89">
        <v>9767.6362399999998</v>
      </c>
      <c r="G206" s="89" t="s">
        <v>128</v>
      </c>
      <c r="H206" s="89"/>
      <c r="I206" s="89">
        <v>9767.6362399999998</v>
      </c>
      <c r="J206" s="89">
        <v>0</v>
      </c>
      <c r="K206" s="89">
        <v>0</v>
      </c>
      <c r="L206" s="89">
        <v>0</v>
      </c>
      <c r="M206" s="89">
        <v>0</v>
      </c>
      <c r="N206" s="89"/>
      <c r="O206" s="89">
        <v>0</v>
      </c>
      <c r="P206" s="89">
        <v>0</v>
      </c>
      <c r="Q206" s="89">
        <v>0</v>
      </c>
      <c r="R206" s="89">
        <v>0</v>
      </c>
      <c r="S206" s="89">
        <v>9767.6362399999998</v>
      </c>
      <c r="T206"/>
      <c r="U206" t="s">
        <v>129</v>
      </c>
      <c r="V206" t="s">
        <v>129</v>
      </c>
      <c r="Y206" t="s">
        <v>283</v>
      </c>
      <c r="Z206" t="s">
        <v>131</v>
      </c>
      <c r="AA206" s="90">
        <v>92101</v>
      </c>
      <c r="AB206" t="s">
        <v>135</v>
      </c>
      <c r="AC206" t="s">
        <v>0</v>
      </c>
      <c r="AD206" t="s">
        <v>143</v>
      </c>
    </row>
    <row r="207" spans="2:30" x14ac:dyDescent="0.25">
      <c r="B207">
        <v>3059</v>
      </c>
      <c r="C207" t="s">
        <v>557</v>
      </c>
      <c r="D207">
        <v>2016</v>
      </c>
      <c r="F207" s="89">
        <v>0</v>
      </c>
      <c r="G207" s="89" t="s">
        <v>128</v>
      </c>
      <c r="H207" s="89"/>
      <c r="I207" s="89">
        <v>0</v>
      </c>
      <c r="J207" s="89">
        <v>0</v>
      </c>
      <c r="K207" s="89">
        <v>0</v>
      </c>
      <c r="L207" s="89">
        <v>0</v>
      </c>
      <c r="M207" s="89">
        <v>0</v>
      </c>
      <c r="N207" s="89"/>
      <c r="O207" s="89">
        <v>0</v>
      </c>
      <c r="P207" s="89">
        <v>0</v>
      </c>
      <c r="Q207" s="89">
        <v>0</v>
      </c>
      <c r="R207" s="89">
        <v>0</v>
      </c>
      <c r="S207" s="89">
        <v>0</v>
      </c>
      <c r="T207"/>
      <c r="U207" t="s">
        <v>129</v>
      </c>
      <c r="V207" t="s">
        <v>129</v>
      </c>
      <c r="Y207" t="s">
        <v>558</v>
      </c>
      <c r="Z207" t="s">
        <v>131</v>
      </c>
      <c r="AA207" s="90">
        <v>90120</v>
      </c>
      <c r="AB207" t="s">
        <v>559</v>
      </c>
      <c r="AC207" t="s">
        <v>136</v>
      </c>
      <c r="AD207" t="s">
        <v>137</v>
      </c>
    </row>
    <row r="208" spans="2:30" x14ac:dyDescent="0.25">
      <c r="B208">
        <v>5036</v>
      </c>
      <c r="C208" t="s">
        <v>560</v>
      </c>
      <c r="D208">
        <v>2016</v>
      </c>
      <c r="F208" s="89">
        <v>11312.3870224</v>
      </c>
      <c r="G208" s="89" t="s">
        <v>128</v>
      </c>
      <c r="H208" s="89"/>
      <c r="I208" s="89">
        <v>0</v>
      </c>
      <c r="J208" s="89">
        <v>0</v>
      </c>
      <c r="K208" s="89">
        <v>11312.3870224</v>
      </c>
      <c r="L208" s="89">
        <v>0</v>
      </c>
      <c r="M208" s="89">
        <v>0</v>
      </c>
      <c r="N208" s="89"/>
      <c r="O208" s="89">
        <v>0</v>
      </c>
      <c r="P208" s="89">
        <v>0</v>
      </c>
      <c r="Q208" s="89">
        <v>0</v>
      </c>
      <c r="R208" s="89">
        <v>0</v>
      </c>
      <c r="S208" s="89">
        <v>11312.3870224</v>
      </c>
      <c r="T208"/>
      <c r="U208" t="s">
        <v>129</v>
      </c>
      <c r="V208" t="s">
        <v>129</v>
      </c>
      <c r="Y208" t="s">
        <v>561</v>
      </c>
      <c r="Z208" t="s">
        <v>131</v>
      </c>
      <c r="AA208" s="90">
        <v>96130</v>
      </c>
      <c r="AB208" t="s">
        <v>550</v>
      </c>
      <c r="AC208" t="s">
        <v>259</v>
      </c>
      <c r="AD208" t="s">
        <v>260</v>
      </c>
    </row>
    <row r="209" spans="2:30" x14ac:dyDescent="0.25">
      <c r="B209">
        <v>3065</v>
      </c>
      <c r="C209" t="s">
        <v>562</v>
      </c>
      <c r="D209">
        <v>2016</v>
      </c>
      <c r="F209" s="89">
        <v>0</v>
      </c>
      <c r="G209" s="89" t="s">
        <v>128</v>
      </c>
      <c r="H209" s="89"/>
      <c r="I209" s="89">
        <v>0</v>
      </c>
      <c r="J209" s="89">
        <v>0</v>
      </c>
      <c r="K209" s="89">
        <v>0</v>
      </c>
      <c r="L209" s="89">
        <v>0</v>
      </c>
      <c r="M209" s="89">
        <v>0</v>
      </c>
      <c r="N209" s="89"/>
      <c r="O209" s="89">
        <v>0</v>
      </c>
      <c r="P209" s="89">
        <v>0</v>
      </c>
      <c r="Q209" s="89">
        <v>0</v>
      </c>
      <c r="R209" s="89">
        <v>0</v>
      </c>
      <c r="S209" s="89">
        <v>0</v>
      </c>
      <c r="T209"/>
      <c r="U209" t="s">
        <v>129</v>
      </c>
      <c r="V209" t="s">
        <v>129</v>
      </c>
      <c r="Y209" t="s">
        <v>563</v>
      </c>
      <c r="Z209" t="s">
        <v>131</v>
      </c>
      <c r="AA209" s="90">
        <v>95482</v>
      </c>
      <c r="AB209" t="s">
        <v>158</v>
      </c>
      <c r="AC209" t="s">
        <v>136</v>
      </c>
      <c r="AD209" t="s">
        <v>137</v>
      </c>
    </row>
    <row r="210" spans="2:30" x14ac:dyDescent="0.25">
      <c r="B210">
        <v>5008</v>
      </c>
      <c r="C210" t="s">
        <v>564</v>
      </c>
      <c r="D210">
        <v>2016</v>
      </c>
      <c r="F210" s="89">
        <v>494616.39212799998</v>
      </c>
      <c r="G210" s="89" t="s">
        <v>128</v>
      </c>
      <c r="H210" s="89"/>
      <c r="I210" s="89">
        <v>0</v>
      </c>
      <c r="J210" s="89">
        <v>0</v>
      </c>
      <c r="K210" s="89">
        <v>494616.39212799998</v>
      </c>
      <c r="L210" s="89">
        <v>0</v>
      </c>
      <c r="M210" s="89">
        <v>0</v>
      </c>
      <c r="N210" s="89"/>
      <c r="O210" s="89">
        <v>0</v>
      </c>
      <c r="P210" s="89">
        <v>150898.17934880001</v>
      </c>
      <c r="Q210" s="89">
        <v>0</v>
      </c>
      <c r="R210" s="89">
        <v>150898.17934880001</v>
      </c>
      <c r="S210" s="89">
        <v>343718.2127792</v>
      </c>
      <c r="T210"/>
      <c r="U210" t="s">
        <v>155</v>
      </c>
      <c r="V210" t="s">
        <v>129</v>
      </c>
      <c r="W210" t="s">
        <v>565</v>
      </c>
      <c r="Y210" t="s">
        <v>318</v>
      </c>
      <c r="Z210" t="s">
        <v>131</v>
      </c>
      <c r="AA210" s="90">
        <v>90058</v>
      </c>
      <c r="AB210" t="s">
        <v>550</v>
      </c>
      <c r="AC210" t="s">
        <v>259</v>
      </c>
      <c r="AD210" t="s">
        <v>260</v>
      </c>
    </row>
    <row r="211" spans="2:30" x14ac:dyDescent="0.25">
      <c r="B211">
        <v>3066</v>
      </c>
      <c r="C211" t="s">
        <v>566</v>
      </c>
      <c r="D211">
        <v>2016</v>
      </c>
      <c r="F211" s="89">
        <v>349.24799999999999</v>
      </c>
      <c r="G211" s="89" t="s">
        <v>128</v>
      </c>
      <c r="H211" s="89"/>
      <c r="I211" s="89">
        <v>0</v>
      </c>
      <c r="J211" s="89">
        <v>0</v>
      </c>
      <c r="K211" s="89">
        <v>0</v>
      </c>
      <c r="L211" s="89">
        <v>0</v>
      </c>
      <c r="M211" s="89">
        <v>349.24799999999999</v>
      </c>
      <c r="N211" s="89"/>
      <c r="O211" s="89">
        <v>0</v>
      </c>
      <c r="P211" s="89">
        <v>0</v>
      </c>
      <c r="Q211" s="89">
        <v>349.24799999999999</v>
      </c>
      <c r="R211" s="89">
        <v>349.24799999999999</v>
      </c>
      <c r="S211" s="89">
        <v>0</v>
      </c>
      <c r="T211"/>
      <c r="U211" t="s">
        <v>155</v>
      </c>
      <c r="V211" t="s">
        <v>129</v>
      </c>
      <c r="W211" t="s">
        <v>565</v>
      </c>
      <c r="Y211" t="s">
        <v>318</v>
      </c>
      <c r="Z211" t="s">
        <v>131</v>
      </c>
      <c r="AA211" s="90">
        <v>90058</v>
      </c>
      <c r="AB211" t="s">
        <v>567</v>
      </c>
      <c r="AC211" t="s">
        <v>136</v>
      </c>
      <c r="AD211" t="s">
        <v>137</v>
      </c>
    </row>
    <row r="212" spans="2:30" x14ac:dyDescent="0.25">
      <c r="B212">
        <v>100328</v>
      </c>
      <c r="C212" t="s">
        <v>568</v>
      </c>
      <c r="D212">
        <v>2016</v>
      </c>
      <c r="F212" s="89">
        <v>98621.626916312001</v>
      </c>
      <c r="G212" s="89" t="s">
        <v>128</v>
      </c>
      <c r="H212" s="89"/>
      <c r="I212" s="89">
        <v>98621.626916312001</v>
      </c>
      <c r="J212" s="89">
        <v>0</v>
      </c>
      <c r="K212" s="89">
        <v>0</v>
      </c>
      <c r="L212" s="89">
        <v>0</v>
      </c>
      <c r="M212" s="89">
        <v>0</v>
      </c>
      <c r="N212" s="89"/>
      <c r="O212" s="89">
        <v>98621.626916312001</v>
      </c>
      <c r="P212" s="89">
        <v>0</v>
      </c>
      <c r="Q212" s="89">
        <v>0</v>
      </c>
      <c r="R212" s="89">
        <v>98621.626916312001</v>
      </c>
      <c r="S212" s="89">
        <v>0</v>
      </c>
      <c r="T212"/>
      <c r="U212" t="s">
        <v>155</v>
      </c>
      <c r="V212" t="s">
        <v>129</v>
      </c>
      <c r="W212" t="s">
        <v>156</v>
      </c>
      <c r="Y212" t="s">
        <v>320</v>
      </c>
      <c r="Z212" t="s">
        <v>131</v>
      </c>
      <c r="AA212" s="90">
        <v>90012</v>
      </c>
      <c r="AB212" t="s">
        <v>569</v>
      </c>
      <c r="AC212" t="s">
        <v>0</v>
      </c>
      <c r="AD212" t="s">
        <v>143</v>
      </c>
    </row>
    <row r="213" spans="2:30" x14ac:dyDescent="0.25">
      <c r="B213">
        <v>104536</v>
      </c>
      <c r="C213" t="s">
        <v>570</v>
      </c>
      <c r="D213">
        <v>2016</v>
      </c>
      <c r="F213" s="89">
        <v>145530.48257600001</v>
      </c>
      <c r="G213" s="89" t="s">
        <v>128</v>
      </c>
      <c r="H213" s="89"/>
      <c r="I213" s="89">
        <v>0</v>
      </c>
      <c r="J213" s="89">
        <v>0</v>
      </c>
      <c r="K213" s="89">
        <v>18118.862856</v>
      </c>
      <c r="L213" s="89">
        <v>127411.61972</v>
      </c>
      <c r="M213" s="89">
        <v>0</v>
      </c>
      <c r="N213" s="89"/>
      <c r="O213" s="89">
        <v>0</v>
      </c>
      <c r="P213" s="89">
        <v>10541.7405478565</v>
      </c>
      <c r="Q213" s="89">
        <v>0</v>
      </c>
      <c r="R213" s="89">
        <v>10541.7405478565</v>
      </c>
      <c r="S213" s="89">
        <v>134988.74202814299</v>
      </c>
      <c r="T213"/>
      <c r="U213" t="s">
        <v>155</v>
      </c>
      <c r="V213" t="s">
        <v>129</v>
      </c>
      <c r="W213" t="s">
        <v>292</v>
      </c>
      <c r="Y213" t="s">
        <v>571</v>
      </c>
      <c r="Z213" t="s">
        <v>131</v>
      </c>
      <c r="AA213" s="90">
        <v>92660</v>
      </c>
      <c r="AB213" t="s">
        <v>550</v>
      </c>
      <c r="AC213" t="s">
        <v>259</v>
      </c>
      <c r="AD213" t="s">
        <v>260</v>
      </c>
    </row>
    <row r="214" spans="2:30" x14ac:dyDescent="0.25">
      <c r="B214">
        <v>104705</v>
      </c>
      <c r="C214" t="s">
        <v>572</v>
      </c>
      <c r="D214">
        <v>2016</v>
      </c>
      <c r="F214" s="89">
        <v>0</v>
      </c>
      <c r="G214" s="89" t="s">
        <v>128</v>
      </c>
      <c r="H214" s="89"/>
      <c r="I214" s="89">
        <v>0</v>
      </c>
      <c r="J214" s="89">
        <v>0</v>
      </c>
      <c r="K214" s="89">
        <v>0</v>
      </c>
      <c r="L214" s="89">
        <v>0</v>
      </c>
      <c r="M214" s="89">
        <v>0</v>
      </c>
      <c r="N214" s="89"/>
      <c r="O214" s="89">
        <v>0</v>
      </c>
      <c r="P214" s="89">
        <v>0</v>
      </c>
      <c r="Q214" s="89">
        <v>0</v>
      </c>
      <c r="R214" s="89">
        <v>0</v>
      </c>
      <c r="S214" s="89">
        <v>0</v>
      </c>
      <c r="T214"/>
      <c r="U214" t="s">
        <v>129</v>
      </c>
      <c r="V214" t="s">
        <v>129</v>
      </c>
      <c r="Y214" t="s">
        <v>573</v>
      </c>
      <c r="Z214" t="s">
        <v>131</v>
      </c>
      <c r="AA214" s="90">
        <v>94102</v>
      </c>
      <c r="AB214" t="s">
        <v>355</v>
      </c>
      <c r="AC214" t="s">
        <v>136</v>
      </c>
      <c r="AD214" t="s">
        <v>137</v>
      </c>
    </row>
    <row r="215" spans="2:30" x14ac:dyDescent="0.25">
      <c r="B215">
        <v>101691</v>
      </c>
      <c r="C215" t="s">
        <v>574</v>
      </c>
      <c r="D215">
        <v>2016</v>
      </c>
      <c r="F215" s="89">
        <v>19043.278134341101</v>
      </c>
      <c r="G215" s="89" t="s">
        <v>128</v>
      </c>
      <c r="H215" s="89"/>
      <c r="I215" s="89">
        <v>19043.278134341101</v>
      </c>
      <c r="J215" s="89">
        <v>0</v>
      </c>
      <c r="K215" s="89">
        <v>0</v>
      </c>
      <c r="L215" s="89">
        <v>0</v>
      </c>
      <c r="M215" s="89">
        <v>0</v>
      </c>
      <c r="N215" s="89"/>
      <c r="O215" s="89">
        <v>0</v>
      </c>
      <c r="P215" s="89">
        <v>0</v>
      </c>
      <c r="Q215" s="89">
        <v>0</v>
      </c>
      <c r="R215" s="89">
        <v>0</v>
      </c>
      <c r="S215" s="89">
        <v>19043.278134341101</v>
      </c>
      <c r="T215"/>
      <c r="U215" t="s">
        <v>129</v>
      </c>
      <c r="V215" t="s">
        <v>129</v>
      </c>
      <c r="Y215" t="s">
        <v>318</v>
      </c>
      <c r="Z215" t="s">
        <v>131</v>
      </c>
      <c r="AA215" s="90">
        <v>90058</v>
      </c>
      <c r="AB215" t="s">
        <v>316</v>
      </c>
      <c r="AC215" t="s">
        <v>0</v>
      </c>
      <c r="AD215" t="s">
        <v>143</v>
      </c>
    </row>
    <row r="216" spans="2:30" x14ac:dyDescent="0.25">
      <c r="B216">
        <v>104485</v>
      </c>
      <c r="C216" t="s">
        <v>575</v>
      </c>
      <c r="D216">
        <v>2016</v>
      </c>
      <c r="F216" s="89">
        <v>640.87054999999998</v>
      </c>
      <c r="G216" s="89" t="s">
        <v>128</v>
      </c>
      <c r="H216" s="89"/>
      <c r="I216" s="89">
        <v>640.87054999999998</v>
      </c>
      <c r="J216" s="89">
        <v>0</v>
      </c>
      <c r="K216" s="89">
        <v>0</v>
      </c>
      <c r="L216" s="89">
        <v>0</v>
      </c>
      <c r="M216" s="89">
        <v>0</v>
      </c>
      <c r="N216" s="89"/>
      <c r="O216" s="89">
        <v>638.11495000000002</v>
      </c>
      <c r="P216" s="89">
        <v>0</v>
      </c>
      <c r="Q216" s="89">
        <v>0</v>
      </c>
      <c r="R216" s="89">
        <v>638.11495000000002</v>
      </c>
      <c r="S216" s="89">
        <v>2.7555999999999998</v>
      </c>
      <c r="T216"/>
      <c r="U216" t="s">
        <v>155</v>
      </c>
      <c r="V216" t="s">
        <v>155</v>
      </c>
      <c r="W216" t="s">
        <v>565</v>
      </c>
      <c r="Y216" t="s">
        <v>576</v>
      </c>
      <c r="Z216" t="s">
        <v>131</v>
      </c>
      <c r="AA216" s="90">
        <v>93251</v>
      </c>
      <c r="AB216" t="s">
        <v>170</v>
      </c>
      <c r="AC216" t="s">
        <v>175</v>
      </c>
      <c r="AD216" t="s">
        <v>176</v>
      </c>
    </row>
    <row r="217" spans="2:30" x14ac:dyDescent="0.25">
      <c r="B217">
        <v>101516</v>
      </c>
      <c r="C217" t="s">
        <v>577</v>
      </c>
      <c r="D217">
        <v>2016</v>
      </c>
      <c r="F217" s="89">
        <v>174150.31091599999</v>
      </c>
      <c r="G217" s="89" t="s">
        <v>128</v>
      </c>
      <c r="H217" s="89"/>
      <c r="I217" s="89">
        <v>174150.31091599999</v>
      </c>
      <c r="J217" s="89">
        <v>0</v>
      </c>
      <c r="K217" s="89">
        <v>0</v>
      </c>
      <c r="L217" s="89">
        <v>0</v>
      </c>
      <c r="M217" s="89">
        <v>0</v>
      </c>
      <c r="N217" s="89"/>
      <c r="O217" s="89">
        <v>174150.31091599999</v>
      </c>
      <c r="P217" s="89">
        <v>0</v>
      </c>
      <c r="Q217" s="89">
        <v>0</v>
      </c>
      <c r="R217" s="89">
        <v>174150.31091599999</v>
      </c>
      <c r="S217" s="89">
        <v>0</v>
      </c>
      <c r="T217"/>
      <c r="U217" t="s">
        <v>155</v>
      </c>
      <c r="V217" t="s">
        <v>129</v>
      </c>
      <c r="W217" t="s">
        <v>368</v>
      </c>
      <c r="Y217" t="s">
        <v>578</v>
      </c>
      <c r="Z217" t="s">
        <v>131</v>
      </c>
      <c r="AA217" s="90">
        <v>93308</v>
      </c>
      <c r="AB217" t="s">
        <v>132</v>
      </c>
      <c r="AC217" t="s">
        <v>1</v>
      </c>
      <c r="AD217" t="s">
        <v>133</v>
      </c>
    </row>
    <row r="218" spans="2:30" x14ac:dyDescent="0.25">
      <c r="B218">
        <v>101250</v>
      </c>
      <c r="C218" t="s">
        <v>579</v>
      </c>
      <c r="D218">
        <v>2016</v>
      </c>
      <c r="F218" s="89">
        <v>76774.650127707995</v>
      </c>
      <c r="G218" s="89" t="s">
        <v>128</v>
      </c>
      <c r="H218" s="89"/>
      <c r="I218" s="89">
        <v>873.65012770800001</v>
      </c>
      <c r="J218" s="89">
        <v>75901</v>
      </c>
      <c r="K218" s="89">
        <v>0</v>
      </c>
      <c r="L218" s="89">
        <v>0</v>
      </c>
      <c r="M218" s="89">
        <v>0</v>
      </c>
      <c r="N218" s="89"/>
      <c r="O218" s="89">
        <v>0</v>
      </c>
      <c r="P218" s="89">
        <v>0</v>
      </c>
      <c r="Q218" s="89">
        <v>0</v>
      </c>
      <c r="R218" s="89">
        <v>0</v>
      </c>
      <c r="S218" s="89">
        <v>76774.650127707995</v>
      </c>
      <c r="T218"/>
      <c r="U218" t="s">
        <v>155</v>
      </c>
      <c r="V218" t="s">
        <v>129</v>
      </c>
      <c r="W218" t="s">
        <v>277</v>
      </c>
      <c r="Y218" t="s">
        <v>580</v>
      </c>
      <c r="Z218" t="s">
        <v>131</v>
      </c>
      <c r="AA218" s="90">
        <v>96020</v>
      </c>
      <c r="AB218" t="s">
        <v>581</v>
      </c>
      <c r="AC218" t="s">
        <v>0</v>
      </c>
      <c r="AD218" t="s">
        <v>143</v>
      </c>
    </row>
    <row r="219" spans="2:30" x14ac:dyDescent="0.25">
      <c r="B219">
        <v>104570</v>
      </c>
      <c r="C219" t="s">
        <v>582</v>
      </c>
      <c r="D219">
        <v>2016</v>
      </c>
      <c r="F219" s="89">
        <v>135151.55447999999</v>
      </c>
      <c r="G219" s="89" t="s">
        <v>128</v>
      </c>
      <c r="H219" s="89"/>
      <c r="I219" s="89">
        <v>0</v>
      </c>
      <c r="J219" s="89">
        <v>0</v>
      </c>
      <c r="K219" s="89">
        <v>0</v>
      </c>
      <c r="L219" s="89">
        <v>0</v>
      </c>
      <c r="M219" s="89">
        <v>135151.55447999999</v>
      </c>
      <c r="N219" s="89"/>
      <c r="O219" s="89">
        <v>0</v>
      </c>
      <c r="P219" s="89">
        <v>0</v>
      </c>
      <c r="Q219" s="89">
        <v>135151.55447999999</v>
      </c>
      <c r="R219" s="89">
        <v>135151.55447999999</v>
      </c>
      <c r="S219" s="89">
        <v>0</v>
      </c>
      <c r="T219"/>
      <c r="U219" t="s">
        <v>155</v>
      </c>
      <c r="V219" t="s">
        <v>129</v>
      </c>
      <c r="W219" t="s">
        <v>197</v>
      </c>
      <c r="Y219" t="s">
        <v>583</v>
      </c>
      <c r="Z219" t="s">
        <v>584</v>
      </c>
      <c r="AA219" s="90">
        <v>21350</v>
      </c>
      <c r="AB219" t="s">
        <v>381</v>
      </c>
      <c r="AC219" t="s">
        <v>136</v>
      </c>
      <c r="AD219" t="s">
        <v>137</v>
      </c>
    </row>
    <row r="220" spans="2:30" x14ac:dyDescent="0.25">
      <c r="B220">
        <v>104646</v>
      </c>
      <c r="C220" t="s">
        <v>585</v>
      </c>
      <c r="D220">
        <v>2016</v>
      </c>
      <c r="F220" s="89">
        <v>0</v>
      </c>
      <c r="G220" s="89" t="s">
        <v>128</v>
      </c>
      <c r="H220" s="89"/>
      <c r="I220" s="89">
        <v>0</v>
      </c>
      <c r="J220" s="89">
        <v>0</v>
      </c>
      <c r="K220" s="89">
        <v>0</v>
      </c>
      <c r="L220" s="89">
        <v>0</v>
      </c>
      <c r="M220" s="89">
        <v>0</v>
      </c>
      <c r="N220" s="89"/>
      <c r="O220" s="89">
        <v>0</v>
      </c>
      <c r="P220" s="89">
        <v>0</v>
      </c>
      <c r="Q220" s="89">
        <v>0</v>
      </c>
      <c r="R220" s="89">
        <v>0</v>
      </c>
      <c r="S220" s="89">
        <v>0</v>
      </c>
      <c r="T220"/>
      <c r="U220" t="s">
        <v>129</v>
      </c>
      <c r="V220" t="s">
        <v>129</v>
      </c>
      <c r="Y220" t="s">
        <v>149</v>
      </c>
      <c r="Z220" t="s">
        <v>131</v>
      </c>
      <c r="AA220" s="90">
        <v>94621</v>
      </c>
      <c r="AB220" t="s">
        <v>158</v>
      </c>
      <c r="AC220" t="s">
        <v>136</v>
      </c>
      <c r="AD220" t="s">
        <v>137</v>
      </c>
    </row>
    <row r="221" spans="2:30" x14ac:dyDescent="0.25">
      <c r="B221">
        <v>101503</v>
      </c>
      <c r="C221" t="s">
        <v>586</v>
      </c>
      <c r="D221">
        <v>2016</v>
      </c>
      <c r="F221" s="89">
        <v>71169.737752000001</v>
      </c>
      <c r="G221" s="89" t="s">
        <v>128</v>
      </c>
      <c r="H221" s="89"/>
      <c r="I221" s="89">
        <v>71169.737752000001</v>
      </c>
      <c r="J221" s="89">
        <v>0</v>
      </c>
      <c r="K221" s="89">
        <v>0</v>
      </c>
      <c r="L221" s="89">
        <v>0</v>
      </c>
      <c r="M221" s="89">
        <v>0</v>
      </c>
      <c r="N221" s="89"/>
      <c r="O221" s="89">
        <v>71169.737752000001</v>
      </c>
      <c r="P221" s="89">
        <v>0</v>
      </c>
      <c r="Q221" s="89">
        <v>0</v>
      </c>
      <c r="R221" s="89">
        <v>71169.737752000001</v>
      </c>
      <c r="S221" s="89">
        <v>0</v>
      </c>
      <c r="T221"/>
      <c r="U221" t="s">
        <v>155</v>
      </c>
      <c r="V221" t="s">
        <v>155</v>
      </c>
      <c r="W221" t="s">
        <v>565</v>
      </c>
      <c r="Y221" t="s">
        <v>587</v>
      </c>
      <c r="Z221" t="s">
        <v>131</v>
      </c>
      <c r="AA221" s="90">
        <v>95351</v>
      </c>
      <c r="AB221" t="s">
        <v>485</v>
      </c>
      <c r="AC221" t="s">
        <v>0</v>
      </c>
      <c r="AD221" t="s">
        <v>143</v>
      </c>
    </row>
    <row r="222" spans="2:30" x14ac:dyDescent="0.25">
      <c r="B222">
        <v>101729</v>
      </c>
      <c r="C222" t="s">
        <v>588</v>
      </c>
      <c r="D222">
        <v>2016</v>
      </c>
      <c r="F222" s="89">
        <v>3.4392248159999999</v>
      </c>
      <c r="G222" s="89" t="s">
        <v>128</v>
      </c>
      <c r="H222" s="89"/>
      <c r="I222" s="89">
        <v>3.4392248159999999</v>
      </c>
      <c r="J222" s="89">
        <v>0</v>
      </c>
      <c r="K222" s="89">
        <v>0</v>
      </c>
      <c r="L222" s="89">
        <v>0</v>
      </c>
      <c r="M222" s="89">
        <v>0</v>
      </c>
      <c r="N222" s="89"/>
      <c r="O222" s="89">
        <v>3.4392248159999999</v>
      </c>
      <c r="P222" s="89">
        <v>0</v>
      </c>
      <c r="Q222" s="89">
        <v>0</v>
      </c>
      <c r="R222" s="89">
        <v>3.4392248159999999</v>
      </c>
      <c r="S222" s="89">
        <v>0</v>
      </c>
      <c r="T222"/>
      <c r="U222" t="s">
        <v>155</v>
      </c>
      <c r="V222" t="s">
        <v>155</v>
      </c>
      <c r="W222" t="s">
        <v>565</v>
      </c>
      <c r="Y222" t="s">
        <v>589</v>
      </c>
      <c r="Z222" t="s">
        <v>131</v>
      </c>
      <c r="AA222" s="90">
        <v>93627</v>
      </c>
      <c r="AB222" t="s">
        <v>485</v>
      </c>
      <c r="AC222" t="s">
        <v>0</v>
      </c>
      <c r="AD222" t="s">
        <v>143</v>
      </c>
    </row>
    <row r="223" spans="2:30" x14ac:dyDescent="0.25">
      <c r="B223">
        <v>3012</v>
      </c>
      <c r="C223" t="s">
        <v>590</v>
      </c>
      <c r="D223">
        <v>2016</v>
      </c>
      <c r="F223" s="89">
        <v>36681.517440000003</v>
      </c>
      <c r="G223" s="89" t="s">
        <v>128</v>
      </c>
      <c r="H223" s="89"/>
      <c r="I223" s="89">
        <v>0</v>
      </c>
      <c r="J223" s="89">
        <v>0</v>
      </c>
      <c r="K223" s="89">
        <v>0</v>
      </c>
      <c r="L223" s="89">
        <v>0</v>
      </c>
      <c r="M223" s="89">
        <v>36681.517440000003</v>
      </c>
      <c r="N223" s="89"/>
      <c r="O223" s="89">
        <v>0</v>
      </c>
      <c r="P223" s="89">
        <v>0</v>
      </c>
      <c r="Q223" s="89">
        <v>1709.2094400000101</v>
      </c>
      <c r="R223" s="89">
        <v>1709.2094400000101</v>
      </c>
      <c r="S223" s="89">
        <v>34972.307999999903</v>
      </c>
      <c r="T223"/>
      <c r="U223" t="s">
        <v>155</v>
      </c>
      <c r="V223" t="s">
        <v>129</v>
      </c>
      <c r="W223" t="s">
        <v>337</v>
      </c>
      <c r="Y223" t="s">
        <v>591</v>
      </c>
      <c r="Z223" t="s">
        <v>592</v>
      </c>
      <c r="AA223" s="90">
        <v>21231</v>
      </c>
      <c r="AB223" t="s">
        <v>158</v>
      </c>
      <c r="AC223" t="s">
        <v>136</v>
      </c>
      <c r="AD223" t="s">
        <v>137</v>
      </c>
    </row>
    <row r="224" spans="2:30" x14ac:dyDescent="0.25">
      <c r="B224">
        <v>100150</v>
      </c>
      <c r="C224" t="s">
        <v>593</v>
      </c>
      <c r="D224">
        <v>2016</v>
      </c>
      <c r="F224" s="89">
        <v>68163.0574420544</v>
      </c>
      <c r="G224" s="89" t="s">
        <v>128</v>
      </c>
      <c r="H224" s="89"/>
      <c r="I224" s="89">
        <v>68163.0574420544</v>
      </c>
      <c r="J224" s="89">
        <v>0</v>
      </c>
      <c r="K224" s="89">
        <v>0</v>
      </c>
      <c r="L224" s="89">
        <v>0</v>
      </c>
      <c r="M224" s="89">
        <v>0</v>
      </c>
      <c r="N224" s="89"/>
      <c r="O224" s="89">
        <v>68163.0574420544</v>
      </c>
      <c r="P224" s="89">
        <v>0</v>
      </c>
      <c r="Q224" s="89">
        <v>0</v>
      </c>
      <c r="R224" s="89">
        <v>68163.0574420544</v>
      </c>
      <c r="S224" s="89">
        <v>0</v>
      </c>
      <c r="T224"/>
      <c r="U224" t="s">
        <v>155</v>
      </c>
      <c r="V224" t="s">
        <v>129</v>
      </c>
      <c r="W224" t="s">
        <v>277</v>
      </c>
      <c r="Y224" t="s">
        <v>160</v>
      </c>
      <c r="Z224" t="s">
        <v>131</v>
      </c>
      <c r="AA224" s="90">
        <v>92880</v>
      </c>
      <c r="AB224" t="s">
        <v>132</v>
      </c>
      <c r="AC224" t="s">
        <v>0</v>
      </c>
      <c r="AD224" t="s">
        <v>133</v>
      </c>
    </row>
    <row r="225" spans="2:30" x14ac:dyDescent="0.25">
      <c r="B225">
        <v>100690</v>
      </c>
      <c r="C225" t="s">
        <v>594</v>
      </c>
      <c r="D225">
        <v>2016</v>
      </c>
      <c r="F225" s="89">
        <v>143936.03</v>
      </c>
      <c r="G225" s="89" t="s">
        <v>128</v>
      </c>
      <c r="H225" s="89"/>
      <c r="I225" s="89">
        <v>143936.03</v>
      </c>
      <c r="J225" s="89">
        <v>0</v>
      </c>
      <c r="K225" s="89">
        <v>0</v>
      </c>
      <c r="L225" s="89">
        <v>0</v>
      </c>
      <c r="M225" s="89">
        <v>0</v>
      </c>
      <c r="N225" s="89"/>
      <c r="O225" s="89">
        <v>0</v>
      </c>
      <c r="P225" s="89">
        <v>0</v>
      </c>
      <c r="Q225" s="89">
        <v>0</v>
      </c>
      <c r="R225" s="89">
        <v>0</v>
      </c>
      <c r="S225" s="89">
        <v>143936.03</v>
      </c>
      <c r="T225"/>
      <c r="U225" t="s">
        <v>155</v>
      </c>
      <c r="V225" t="s">
        <v>129</v>
      </c>
      <c r="W225" t="s">
        <v>156</v>
      </c>
      <c r="Y225" t="s">
        <v>595</v>
      </c>
      <c r="Z225" t="s">
        <v>131</v>
      </c>
      <c r="AA225" s="90">
        <v>93542</v>
      </c>
      <c r="AB225" t="s">
        <v>139</v>
      </c>
      <c r="AC225" t="s">
        <v>0</v>
      </c>
      <c r="AD225" t="s">
        <v>140</v>
      </c>
    </row>
    <row r="226" spans="2:30" x14ac:dyDescent="0.25">
      <c r="B226">
        <v>101670</v>
      </c>
      <c r="C226" t="s">
        <v>596</v>
      </c>
      <c r="D226">
        <v>2016</v>
      </c>
      <c r="F226" s="89">
        <v>92102.7</v>
      </c>
      <c r="G226" s="89" t="s">
        <v>128</v>
      </c>
      <c r="H226" s="89"/>
      <c r="I226" s="89">
        <v>92102.7</v>
      </c>
      <c r="J226" s="89">
        <v>0</v>
      </c>
      <c r="K226" s="89">
        <v>0</v>
      </c>
      <c r="L226" s="89">
        <v>0</v>
      </c>
      <c r="M226" s="89">
        <v>0</v>
      </c>
      <c r="N226" s="89"/>
      <c r="O226" s="89">
        <v>0</v>
      </c>
      <c r="P226" s="89">
        <v>0</v>
      </c>
      <c r="Q226" s="89">
        <v>0</v>
      </c>
      <c r="R226" s="89">
        <v>0</v>
      </c>
      <c r="S226" s="89">
        <v>92102.7</v>
      </c>
      <c r="T226"/>
      <c r="U226" t="s">
        <v>155</v>
      </c>
      <c r="V226" t="s">
        <v>129</v>
      </c>
      <c r="W226" t="s">
        <v>156</v>
      </c>
      <c r="Y226" t="s">
        <v>595</v>
      </c>
      <c r="Z226" t="s">
        <v>131</v>
      </c>
      <c r="AA226" s="90">
        <v>93542</v>
      </c>
      <c r="AB226" t="s">
        <v>139</v>
      </c>
      <c r="AC226" t="s">
        <v>0</v>
      </c>
      <c r="AD226" t="s">
        <v>140</v>
      </c>
    </row>
    <row r="227" spans="2:30" x14ac:dyDescent="0.25">
      <c r="B227">
        <v>101669</v>
      </c>
      <c r="C227" t="s">
        <v>597</v>
      </c>
      <c r="D227">
        <v>2016</v>
      </c>
      <c r="F227" s="89">
        <v>689710.8</v>
      </c>
      <c r="G227" s="89" t="s">
        <v>128</v>
      </c>
      <c r="H227" s="89"/>
      <c r="I227" s="89">
        <v>689710.8</v>
      </c>
      <c r="J227" s="89">
        <v>0</v>
      </c>
      <c r="K227" s="89">
        <v>0</v>
      </c>
      <c r="L227" s="89">
        <v>0</v>
      </c>
      <c r="M227" s="89">
        <v>0</v>
      </c>
      <c r="N227" s="89"/>
      <c r="O227" s="89">
        <v>0</v>
      </c>
      <c r="P227" s="89">
        <v>0</v>
      </c>
      <c r="Q227" s="89">
        <v>0</v>
      </c>
      <c r="R227" s="89">
        <v>0</v>
      </c>
      <c r="S227" s="89">
        <v>689710.8</v>
      </c>
      <c r="T227"/>
      <c r="U227" t="s">
        <v>155</v>
      </c>
      <c r="V227" t="s">
        <v>129</v>
      </c>
      <c r="W227" t="s">
        <v>156</v>
      </c>
      <c r="Y227" t="s">
        <v>595</v>
      </c>
      <c r="Z227" t="s">
        <v>131</v>
      </c>
      <c r="AA227" s="90">
        <v>93542</v>
      </c>
      <c r="AB227" t="s">
        <v>139</v>
      </c>
      <c r="AC227" t="s">
        <v>0</v>
      </c>
      <c r="AD227" t="s">
        <v>140</v>
      </c>
    </row>
    <row r="228" spans="2:30" x14ac:dyDescent="0.25">
      <c r="B228">
        <v>100933</v>
      </c>
      <c r="C228" t="s">
        <v>598</v>
      </c>
      <c r="D228">
        <v>2016</v>
      </c>
      <c r="F228" s="89">
        <v>0</v>
      </c>
      <c r="G228" s="89" t="s">
        <v>128</v>
      </c>
      <c r="H228" s="89"/>
      <c r="I228" s="89">
        <v>0</v>
      </c>
      <c r="J228" s="89">
        <v>0</v>
      </c>
      <c r="K228" s="89">
        <v>0</v>
      </c>
      <c r="L228" s="89">
        <v>0</v>
      </c>
      <c r="M228" s="89">
        <v>0</v>
      </c>
      <c r="N228" s="89"/>
      <c r="O228" s="89">
        <v>0</v>
      </c>
      <c r="P228" s="89">
        <v>0</v>
      </c>
      <c r="Q228" s="89">
        <v>0</v>
      </c>
      <c r="R228" s="89">
        <v>0</v>
      </c>
      <c r="S228" s="89">
        <v>0</v>
      </c>
      <c r="T228"/>
      <c r="U228" t="s">
        <v>129</v>
      </c>
      <c r="V228" t="s">
        <v>129</v>
      </c>
      <c r="Y228" t="s">
        <v>599</v>
      </c>
      <c r="Z228" t="s">
        <v>131</v>
      </c>
      <c r="AA228" s="90">
        <v>93250</v>
      </c>
      <c r="AB228" t="s">
        <v>139</v>
      </c>
      <c r="AC228" t="s">
        <v>0</v>
      </c>
      <c r="AD228" t="s">
        <v>140</v>
      </c>
    </row>
    <row r="229" spans="2:30" x14ac:dyDescent="0.25">
      <c r="B229">
        <v>100035</v>
      </c>
      <c r="C229" t="s">
        <v>600</v>
      </c>
      <c r="D229">
        <v>2016</v>
      </c>
      <c r="F229" s="89">
        <v>0</v>
      </c>
      <c r="G229" s="89" t="s">
        <v>128</v>
      </c>
      <c r="H229" s="89"/>
      <c r="I229" s="89">
        <v>0</v>
      </c>
      <c r="J229" s="89">
        <v>0</v>
      </c>
      <c r="K229" s="89">
        <v>0</v>
      </c>
      <c r="L229" s="89">
        <v>0</v>
      </c>
      <c r="M229" s="89">
        <v>0</v>
      </c>
      <c r="N229" s="89"/>
      <c r="O229" s="89">
        <v>0</v>
      </c>
      <c r="P229" s="89">
        <v>0</v>
      </c>
      <c r="Q229" s="89">
        <v>0</v>
      </c>
      <c r="R229" s="89">
        <v>0</v>
      </c>
      <c r="S229" s="89">
        <v>0</v>
      </c>
      <c r="T229"/>
      <c r="U229" t="s">
        <v>129</v>
      </c>
      <c r="V229" t="s">
        <v>129</v>
      </c>
      <c r="Y229" t="s">
        <v>601</v>
      </c>
      <c r="Z229" t="s">
        <v>131</v>
      </c>
      <c r="AA229" s="90">
        <v>93640</v>
      </c>
      <c r="AB229" t="s">
        <v>139</v>
      </c>
      <c r="AC229" t="s">
        <v>0</v>
      </c>
      <c r="AD229" t="s">
        <v>140</v>
      </c>
    </row>
    <row r="230" spans="2:30" x14ac:dyDescent="0.25">
      <c r="B230">
        <v>101264</v>
      </c>
      <c r="C230" t="s">
        <v>602</v>
      </c>
      <c r="D230">
        <v>2016</v>
      </c>
      <c r="F230" s="89">
        <v>258514.38029283201</v>
      </c>
      <c r="G230" s="89" t="s">
        <v>128</v>
      </c>
      <c r="H230" s="89"/>
      <c r="I230" s="89">
        <v>105271.38029283199</v>
      </c>
      <c r="J230" s="89">
        <v>153243</v>
      </c>
      <c r="K230" s="89">
        <v>0</v>
      </c>
      <c r="L230" s="89">
        <v>0</v>
      </c>
      <c r="M230" s="89">
        <v>0</v>
      </c>
      <c r="N230" s="89"/>
      <c r="O230" s="89">
        <v>103518.59873948</v>
      </c>
      <c r="P230" s="89">
        <v>0</v>
      </c>
      <c r="Q230" s="89">
        <v>0</v>
      </c>
      <c r="R230" s="89">
        <v>103518.59873948</v>
      </c>
      <c r="S230" s="89">
        <v>154995.78155335199</v>
      </c>
      <c r="T230"/>
      <c r="U230" t="s">
        <v>155</v>
      </c>
      <c r="V230" t="s">
        <v>129</v>
      </c>
      <c r="W230" t="s">
        <v>368</v>
      </c>
      <c r="Y230" t="s">
        <v>603</v>
      </c>
      <c r="Z230" t="s">
        <v>131</v>
      </c>
      <c r="AA230" s="90">
        <v>95313</v>
      </c>
      <c r="AB230" t="s">
        <v>604</v>
      </c>
      <c r="AC230" t="s">
        <v>0</v>
      </c>
      <c r="AD230" t="s">
        <v>140</v>
      </c>
    </row>
    <row r="231" spans="2:30" x14ac:dyDescent="0.25">
      <c r="B231">
        <v>101037</v>
      </c>
      <c r="C231" t="s">
        <v>1499</v>
      </c>
      <c r="D231">
        <v>2016</v>
      </c>
      <c r="F231" s="89">
        <v>0</v>
      </c>
      <c r="G231" s="89" t="s">
        <v>128</v>
      </c>
      <c r="H231" s="89"/>
      <c r="I231" s="89">
        <v>0</v>
      </c>
      <c r="J231" s="89">
        <v>0</v>
      </c>
      <c r="K231" s="89">
        <v>0</v>
      </c>
      <c r="L231" s="89">
        <v>0</v>
      </c>
      <c r="M231" s="89">
        <v>0</v>
      </c>
      <c r="N231" s="89"/>
      <c r="O231" s="89">
        <v>0</v>
      </c>
      <c r="P231" s="89">
        <v>0</v>
      </c>
      <c r="Q231" s="89">
        <v>0</v>
      </c>
      <c r="R231" s="89">
        <v>0</v>
      </c>
      <c r="S231" s="89">
        <v>0</v>
      </c>
      <c r="T231"/>
      <c r="U231" t="s">
        <v>129</v>
      </c>
      <c r="V231" t="s">
        <v>129</v>
      </c>
      <c r="Y231" t="s">
        <v>138</v>
      </c>
      <c r="Z231" t="s">
        <v>131</v>
      </c>
      <c r="AA231" s="90">
        <v>92657</v>
      </c>
      <c r="AB231" t="s">
        <v>139</v>
      </c>
      <c r="AC231" t="s">
        <v>0</v>
      </c>
      <c r="AD231" t="s">
        <v>140</v>
      </c>
    </row>
    <row r="232" spans="2:30" x14ac:dyDescent="0.25">
      <c r="B232">
        <v>101519</v>
      </c>
      <c r="C232" t="s">
        <v>605</v>
      </c>
      <c r="D232">
        <v>2016</v>
      </c>
      <c r="F232" s="89">
        <v>104815.454456347</v>
      </c>
      <c r="G232" s="89" t="s">
        <v>128</v>
      </c>
      <c r="H232" s="89"/>
      <c r="I232" s="89">
        <v>104815.454456347</v>
      </c>
      <c r="J232" s="89">
        <v>0</v>
      </c>
      <c r="K232" s="89">
        <v>0</v>
      </c>
      <c r="L232" s="89">
        <v>0</v>
      </c>
      <c r="M232" s="89">
        <v>0</v>
      </c>
      <c r="N232" s="89"/>
      <c r="O232" s="89">
        <v>104815.454456347</v>
      </c>
      <c r="P232" s="89">
        <v>0</v>
      </c>
      <c r="Q232" s="89">
        <v>0</v>
      </c>
      <c r="R232" s="89">
        <v>104815.454456347</v>
      </c>
      <c r="S232" s="89">
        <v>0</v>
      </c>
      <c r="T232"/>
      <c r="U232" t="s">
        <v>155</v>
      </c>
      <c r="V232" t="s">
        <v>129</v>
      </c>
      <c r="W232" t="s">
        <v>168</v>
      </c>
      <c r="Y232" t="s">
        <v>283</v>
      </c>
      <c r="Z232" t="s">
        <v>131</v>
      </c>
      <c r="AA232" s="90">
        <v>92113</v>
      </c>
      <c r="AB232" t="s">
        <v>606</v>
      </c>
      <c r="AC232" t="s">
        <v>0</v>
      </c>
      <c r="AD232" t="s">
        <v>143</v>
      </c>
    </row>
    <row r="233" spans="2:30" x14ac:dyDescent="0.25">
      <c r="B233">
        <v>101703</v>
      </c>
      <c r="C233" t="s">
        <v>607</v>
      </c>
      <c r="D233">
        <v>2016</v>
      </c>
      <c r="F233" s="89">
        <v>503953.15704764501</v>
      </c>
      <c r="G233" s="89" t="s">
        <v>128</v>
      </c>
      <c r="H233" s="89"/>
      <c r="I233" s="89">
        <v>27295.1091872586</v>
      </c>
      <c r="J233" s="89">
        <v>0</v>
      </c>
      <c r="K233" s="89">
        <v>476658.04786038602</v>
      </c>
      <c r="L233" s="89">
        <v>0</v>
      </c>
      <c r="M233" s="89">
        <v>0</v>
      </c>
      <c r="N233" s="89"/>
      <c r="O233" s="89">
        <v>27171.009187258602</v>
      </c>
      <c r="P233" s="89">
        <v>24666.840572901099</v>
      </c>
      <c r="Q233" s="89">
        <v>0</v>
      </c>
      <c r="R233" s="89">
        <v>51837.849760159697</v>
      </c>
      <c r="S233" s="89">
        <v>452115.30728748499</v>
      </c>
      <c r="T233"/>
      <c r="U233" t="s">
        <v>155</v>
      </c>
      <c r="V233" t="s">
        <v>155</v>
      </c>
      <c r="W233" t="s">
        <v>277</v>
      </c>
      <c r="Y233" t="s">
        <v>421</v>
      </c>
      <c r="Z233" t="s">
        <v>131</v>
      </c>
      <c r="AA233" s="90">
        <v>93276</v>
      </c>
      <c r="AB233" t="s">
        <v>327</v>
      </c>
      <c r="AC233" t="s">
        <v>171</v>
      </c>
      <c r="AD233" t="s">
        <v>172</v>
      </c>
    </row>
    <row r="234" spans="2:30" x14ac:dyDescent="0.25">
      <c r="B234">
        <v>104488</v>
      </c>
      <c r="C234" t="s">
        <v>608</v>
      </c>
      <c r="D234">
        <v>2016</v>
      </c>
      <c r="F234" s="89">
        <v>41746.229395901501</v>
      </c>
      <c r="G234" s="89" t="s">
        <v>128</v>
      </c>
      <c r="H234" s="89"/>
      <c r="I234" s="89">
        <v>41746.229395901501</v>
      </c>
      <c r="J234" s="89">
        <v>0</v>
      </c>
      <c r="K234" s="89">
        <v>0</v>
      </c>
      <c r="L234" s="89">
        <v>0</v>
      </c>
      <c r="M234" s="89">
        <v>0</v>
      </c>
      <c r="N234" s="89"/>
      <c r="O234" s="89">
        <v>41104.177333151601</v>
      </c>
      <c r="P234" s="89">
        <v>0</v>
      </c>
      <c r="Q234" s="89">
        <v>0</v>
      </c>
      <c r="R234" s="89">
        <v>41104.177333151601</v>
      </c>
      <c r="S234" s="89">
        <v>642.052062749828</v>
      </c>
      <c r="T234"/>
      <c r="U234" t="s">
        <v>210</v>
      </c>
      <c r="V234" t="s">
        <v>155</v>
      </c>
      <c r="W234" t="s">
        <v>565</v>
      </c>
      <c r="Y234" t="s">
        <v>178</v>
      </c>
      <c r="Z234" t="s">
        <v>131</v>
      </c>
      <c r="AA234" s="90">
        <v>93309</v>
      </c>
      <c r="AB234" t="s">
        <v>170</v>
      </c>
      <c r="AC234" t="s">
        <v>175</v>
      </c>
      <c r="AD234" t="s">
        <v>176</v>
      </c>
    </row>
    <row r="235" spans="2:30" x14ac:dyDescent="0.25">
      <c r="B235">
        <v>104340</v>
      </c>
      <c r="C235" t="s">
        <v>609</v>
      </c>
      <c r="D235">
        <v>2016</v>
      </c>
      <c r="F235" s="89">
        <v>15044.638272</v>
      </c>
      <c r="G235" s="89" t="s">
        <v>128</v>
      </c>
      <c r="H235" s="89"/>
      <c r="I235" s="89">
        <v>15044.638272</v>
      </c>
      <c r="J235" s="89">
        <v>0</v>
      </c>
      <c r="K235" s="89">
        <v>0</v>
      </c>
      <c r="L235" s="89">
        <v>0</v>
      </c>
      <c r="M235" s="89">
        <v>0</v>
      </c>
      <c r="N235" s="89"/>
      <c r="O235" s="89">
        <v>0</v>
      </c>
      <c r="P235" s="89">
        <v>0</v>
      </c>
      <c r="Q235" s="89">
        <v>0</v>
      </c>
      <c r="R235" s="89">
        <v>0</v>
      </c>
      <c r="S235" s="89">
        <v>15044.638272</v>
      </c>
      <c r="T235"/>
      <c r="U235" t="s">
        <v>129</v>
      </c>
      <c r="V235" t="s">
        <v>129</v>
      </c>
      <c r="Y235" t="s">
        <v>247</v>
      </c>
      <c r="Z235" t="s">
        <v>131</v>
      </c>
      <c r="AA235" s="90">
        <v>94565</v>
      </c>
      <c r="AB235" t="s">
        <v>610</v>
      </c>
      <c r="AC235" t="s">
        <v>0</v>
      </c>
      <c r="AD235" t="s">
        <v>143</v>
      </c>
    </row>
    <row r="236" spans="2:30" x14ac:dyDescent="0.25">
      <c r="B236">
        <v>101263</v>
      </c>
      <c r="C236" t="s">
        <v>611</v>
      </c>
      <c r="D236">
        <v>2016</v>
      </c>
      <c r="F236" s="89">
        <v>671743.18376000004</v>
      </c>
      <c r="G236" s="89" t="s">
        <v>128</v>
      </c>
      <c r="H236" s="89"/>
      <c r="I236" s="89">
        <v>671743.18376000004</v>
      </c>
      <c r="J236" s="89">
        <v>0</v>
      </c>
      <c r="K236" s="89">
        <v>0</v>
      </c>
      <c r="L236" s="89">
        <v>0</v>
      </c>
      <c r="M236" s="89">
        <v>0</v>
      </c>
      <c r="N236" s="89"/>
      <c r="O236" s="89">
        <v>671743.18376000004</v>
      </c>
      <c r="P236" s="89">
        <v>0</v>
      </c>
      <c r="Q236" s="89">
        <v>0</v>
      </c>
      <c r="R236" s="89">
        <v>671743.18376000004</v>
      </c>
      <c r="S236" s="89">
        <v>0</v>
      </c>
      <c r="T236"/>
      <c r="U236" t="s">
        <v>155</v>
      </c>
      <c r="V236" t="s">
        <v>129</v>
      </c>
      <c r="W236" t="s">
        <v>277</v>
      </c>
      <c r="Y236" t="s">
        <v>612</v>
      </c>
      <c r="Z236" t="s">
        <v>131</v>
      </c>
      <c r="AA236" s="90">
        <v>94525</v>
      </c>
      <c r="AB236" t="s">
        <v>132</v>
      </c>
      <c r="AC236" t="s">
        <v>0</v>
      </c>
      <c r="AD236" t="s">
        <v>133</v>
      </c>
    </row>
    <row r="237" spans="2:30" x14ac:dyDescent="0.25">
      <c r="B237">
        <v>104349</v>
      </c>
      <c r="C237" t="s">
        <v>613</v>
      </c>
      <c r="D237">
        <v>2016</v>
      </c>
      <c r="F237" s="89">
        <v>11785.587588799999</v>
      </c>
      <c r="G237" s="89" t="s">
        <v>128</v>
      </c>
      <c r="H237" s="89"/>
      <c r="I237" s="89">
        <v>11785.587588799999</v>
      </c>
      <c r="J237" s="89">
        <v>0</v>
      </c>
      <c r="K237" s="89">
        <v>0</v>
      </c>
      <c r="L237" s="89">
        <v>0</v>
      </c>
      <c r="M237" s="89">
        <v>0</v>
      </c>
      <c r="N237" s="89"/>
      <c r="O237" s="89">
        <v>0</v>
      </c>
      <c r="P237" s="89">
        <v>0</v>
      </c>
      <c r="Q237" s="89">
        <v>0</v>
      </c>
      <c r="R237" s="89">
        <v>0</v>
      </c>
      <c r="S237" s="89">
        <v>11785.587588799999</v>
      </c>
      <c r="T237"/>
      <c r="U237" t="s">
        <v>129</v>
      </c>
      <c r="V237" t="s">
        <v>129</v>
      </c>
      <c r="Y237" t="s">
        <v>614</v>
      </c>
      <c r="Z237" t="s">
        <v>131</v>
      </c>
      <c r="AA237" s="90">
        <v>91746</v>
      </c>
      <c r="AB237" t="s">
        <v>615</v>
      </c>
      <c r="AC237" t="s">
        <v>0</v>
      </c>
      <c r="AD237" t="s">
        <v>143</v>
      </c>
    </row>
    <row r="238" spans="2:30" x14ac:dyDescent="0.25">
      <c r="B238">
        <v>104674</v>
      </c>
      <c r="C238" t="s">
        <v>616</v>
      </c>
      <c r="D238">
        <v>2016</v>
      </c>
      <c r="F238" s="89">
        <v>330.87218999999999</v>
      </c>
      <c r="G238" s="89" t="s">
        <v>128</v>
      </c>
      <c r="H238" s="89"/>
      <c r="I238" s="89">
        <v>0</v>
      </c>
      <c r="J238" s="89">
        <v>0</v>
      </c>
      <c r="K238" s="89">
        <v>0</v>
      </c>
      <c r="L238" s="89">
        <v>0</v>
      </c>
      <c r="M238" s="89">
        <v>330.87218999999999</v>
      </c>
      <c r="N238" s="89"/>
      <c r="O238" s="89">
        <v>0</v>
      </c>
      <c r="P238" s="89">
        <v>0</v>
      </c>
      <c r="Q238" s="89">
        <v>330.87218999999999</v>
      </c>
      <c r="R238" s="89">
        <v>330.87218999999999</v>
      </c>
      <c r="S238" s="89">
        <v>0</v>
      </c>
      <c r="T238"/>
      <c r="U238" t="s">
        <v>155</v>
      </c>
      <c r="V238" t="s">
        <v>129</v>
      </c>
      <c r="W238" t="s">
        <v>372</v>
      </c>
      <c r="Y238" t="s">
        <v>617</v>
      </c>
      <c r="Z238" t="s">
        <v>374</v>
      </c>
      <c r="AA238" s="9" t="s">
        <v>618</v>
      </c>
      <c r="AB238" t="s">
        <v>158</v>
      </c>
      <c r="AC238" t="s">
        <v>136</v>
      </c>
      <c r="AD238" t="s">
        <v>137</v>
      </c>
    </row>
    <row r="239" spans="2:30" x14ac:dyDescent="0.25">
      <c r="B239">
        <v>104338</v>
      </c>
      <c r="C239" t="s">
        <v>619</v>
      </c>
      <c r="D239">
        <v>2016</v>
      </c>
      <c r="F239" s="89">
        <v>11554.517408</v>
      </c>
      <c r="G239" s="89" t="s">
        <v>128</v>
      </c>
      <c r="H239" s="89"/>
      <c r="I239" s="89">
        <v>11554.517408</v>
      </c>
      <c r="J239" s="89">
        <v>0</v>
      </c>
      <c r="K239" s="89">
        <v>0</v>
      </c>
      <c r="L239" s="89">
        <v>0</v>
      </c>
      <c r="M239" s="89">
        <v>0</v>
      </c>
      <c r="N239" s="89"/>
      <c r="O239" s="89">
        <v>0</v>
      </c>
      <c r="P239" s="89">
        <v>0</v>
      </c>
      <c r="Q239" s="89">
        <v>0</v>
      </c>
      <c r="R239" s="89">
        <v>0</v>
      </c>
      <c r="S239" s="89">
        <v>11554.517408</v>
      </c>
      <c r="T239"/>
      <c r="U239" t="s">
        <v>129</v>
      </c>
      <c r="V239" t="s">
        <v>129</v>
      </c>
      <c r="Y239" t="s">
        <v>395</v>
      </c>
      <c r="Z239" t="s">
        <v>131</v>
      </c>
      <c r="AA239" s="90">
        <v>93706</v>
      </c>
      <c r="AB239" t="s">
        <v>316</v>
      </c>
      <c r="AC239" t="s">
        <v>0</v>
      </c>
      <c r="AD239" t="s">
        <v>143</v>
      </c>
    </row>
    <row r="240" spans="2:30" x14ac:dyDescent="0.25">
      <c r="B240">
        <v>104337</v>
      </c>
      <c r="C240" t="s">
        <v>620</v>
      </c>
      <c r="D240">
        <v>2016</v>
      </c>
      <c r="F240" s="89">
        <v>18009.6700752</v>
      </c>
      <c r="G240" s="89" t="s">
        <v>128</v>
      </c>
      <c r="H240" s="89"/>
      <c r="I240" s="89">
        <v>18009.6700752</v>
      </c>
      <c r="J240" s="89">
        <v>0</v>
      </c>
      <c r="K240" s="89">
        <v>0</v>
      </c>
      <c r="L240" s="89">
        <v>0</v>
      </c>
      <c r="M240" s="89">
        <v>0</v>
      </c>
      <c r="N240" s="89"/>
      <c r="O240" s="89">
        <v>0</v>
      </c>
      <c r="P240" s="89">
        <v>0</v>
      </c>
      <c r="Q240" s="89">
        <v>0</v>
      </c>
      <c r="R240" s="89">
        <v>0</v>
      </c>
      <c r="S240" s="89">
        <v>18009.6700752</v>
      </c>
      <c r="T240"/>
      <c r="U240" t="s">
        <v>129</v>
      </c>
      <c r="V240" t="s">
        <v>129</v>
      </c>
      <c r="Y240" t="s">
        <v>320</v>
      </c>
      <c r="Z240" t="s">
        <v>131</v>
      </c>
      <c r="AA240" s="90">
        <v>90058</v>
      </c>
      <c r="AB240" t="s">
        <v>316</v>
      </c>
      <c r="AC240" t="s">
        <v>0</v>
      </c>
      <c r="AD240" t="s">
        <v>143</v>
      </c>
    </row>
    <row r="241" spans="2:30" x14ac:dyDescent="0.25">
      <c r="B241">
        <v>104339</v>
      </c>
      <c r="C241" t="s">
        <v>621</v>
      </c>
      <c r="D241">
        <v>2016</v>
      </c>
      <c r="F241" s="89">
        <v>18798.845408000001</v>
      </c>
      <c r="G241" s="89" t="s">
        <v>128</v>
      </c>
      <c r="H241" s="89"/>
      <c r="I241" s="89">
        <v>18798.845408000001</v>
      </c>
      <c r="J241" s="89">
        <v>0</v>
      </c>
      <c r="K241" s="89">
        <v>0</v>
      </c>
      <c r="L241" s="89">
        <v>0</v>
      </c>
      <c r="M241" s="89">
        <v>0</v>
      </c>
      <c r="N241" s="89"/>
      <c r="O241" s="89">
        <v>0</v>
      </c>
      <c r="P241" s="89">
        <v>0</v>
      </c>
      <c r="Q241" s="89">
        <v>0</v>
      </c>
      <c r="R241" s="89">
        <v>0</v>
      </c>
      <c r="S241" s="89">
        <v>18798.845408000001</v>
      </c>
      <c r="T241"/>
      <c r="U241" t="s">
        <v>129</v>
      </c>
      <c r="V241" t="s">
        <v>129</v>
      </c>
      <c r="Y241" t="s">
        <v>603</v>
      </c>
      <c r="Z241" t="s">
        <v>131</v>
      </c>
      <c r="AA241" s="90">
        <v>95313</v>
      </c>
      <c r="AB241" t="s">
        <v>316</v>
      </c>
      <c r="AC241" t="s">
        <v>0</v>
      </c>
      <c r="AD241" t="s">
        <v>143</v>
      </c>
    </row>
    <row r="242" spans="2:30" x14ac:dyDescent="0.25">
      <c r="B242">
        <v>101260</v>
      </c>
      <c r="C242" t="s">
        <v>622</v>
      </c>
      <c r="D242">
        <v>2016</v>
      </c>
      <c r="F242" s="89">
        <v>14684.4863728</v>
      </c>
      <c r="G242" s="89" t="s">
        <v>128</v>
      </c>
      <c r="H242" s="89"/>
      <c r="I242" s="89">
        <v>14684.4863728</v>
      </c>
      <c r="J242" s="89">
        <v>0</v>
      </c>
      <c r="K242" s="89">
        <v>0</v>
      </c>
      <c r="L242" s="89">
        <v>0</v>
      </c>
      <c r="M242" s="89">
        <v>0</v>
      </c>
      <c r="N242" s="89"/>
      <c r="O242" s="89">
        <v>0</v>
      </c>
      <c r="P242" s="89">
        <v>0</v>
      </c>
      <c r="Q242" s="89">
        <v>0</v>
      </c>
      <c r="R242" s="89">
        <v>0</v>
      </c>
      <c r="S242" s="89">
        <v>14684.4863728</v>
      </c>
      <c r="T242"/>
      <c r="U242" t="s">
        <v>129</v>
      </c>
      <c r="V242" t="s">
        <v>129</v>
      </c>
      <c r="Y242" t="s">
        <v>160</v>
      </c>
      <c r="Z242" t="s">
        <v>131</v>
      </c>
      <c r="AA242" s="90">
        <v>92880</v>
      </c>
      <c r="AB242" t="s">
        <v>623</v>
      </c>
      <c r="AC242" t="s">
        <v>0</v>
      </c>
      <c r="AD242" t="s">
        <v>143</v>
      </c>
    </row>
    <row r="243" spans="2:30" x14ac:dyDescent="0.25">
      <c r="B243">
        <v>101214</v>
      </c>
      <c r="C243" t="s">
        <v>624</v>
      </c>
      <c r="D243">
        <v>2016</v>
      </c>
      <c r="F243" s="89">
        <v>30175.1258112</v>
      </c>
      <c r="G243" s="89" t="s">
        <v>128</v>
      </c>
      <c r="H243" s="89"/>
      <c r="I243" s="89">
        <v>30175.1258112</v>
      </c>
      <c r="J243" s="89">
        <v>0</v>
      </c>
      <c r="K243" s="89">
        <v>0</v>
      </c>
      <c r="L243" s="89">
        <v>0</v>
      </c>
      <c r="M243" s="89">
        <v>0</v>
      </c>
      <c r="N243" s="89"/>
      <c r="O243" s="89">
        <v>30175.1258112</v>
      </c>
      <c r="P243" s="89">
        <v>0</v>
      </c>
      <c r="Q243" s="89">
        <v>0</v>
      </c>
      <c r="R243" s="89">
        <v>30175.1258112</v>
      </c>
      <c r="S243" s="89">
        <v>0</v>
      </c>
      <c r="T243"/>
      <c r="U243" t="s">
        <v>155</v>
      </c>
      <c r="V243" t="s">
        <v>155</v>
      </c>
      <c r="W243" t="s">
        <v>565</v>
      </c>
      <c r="Y243" t="s">
        <v>625</v>
      </c>
      <c r="Z243" t="s">
        <v>131</v>
      </c>
      <c r="AA243" s="90">
        <v>93230</v>
      </c>
      <c r="AB243" t="s">
        <v>485</v>
      </c>
      <c r="AC243" t="s">
        <v>0</v>
      </c>
      <c r="AD243" t="s">
        <v>143</v>
      </c>
    </row>
    <row r="244" spans="2:30" x14ac:dyDescent="0.25">
      <c r="B244">
        <v>104138</v>
      </c>
      <c r="C244" t="s">
        <v>626</v>
      </c>
      <c r="D244">
        <v>2016</v>
      </c>
      <c r="F244" s="89">
        <v>13665.350064</v>
      </c>
      <c r="G244" s="89" t="s">
        <v>128</v>
      </c>
      <c r="H244" s="89"/>
      <c r="I244" s="89">
        <v>13665.350064</v>
      </c>
      <c r="J244" s="89">
        <v>0</v>
      </c>
      <c r="K244" s="89">
        <v>0</v>
      </c>
      <c r="L244" s="89">
        <v>0</v>
      </c>
      <c r="M244" s="89">
        <v>0</v>
      </c>
      <c r="N244" s="89"/>
      <c r="O244" s="89">
        <v>0</v>
      </c>
      <c r="P244" s="89">
        <v>0</v>
      </c>
      <c r="Q244" s="89">
        <v>0</v>
      </c>
      <c r="R244" s="89">
        <v>0</v>
      </c>
      <c r="S244" s="89">
        <v>13665.350064</v>
      </c>
      <c r="T244"/>
      <c r="U244" t="s">
        <v>129</v>
      </c>
      <c r="V244" t="s">
        <v>129</v>
      </c>
      <c r="Y244" t="s">
        <v>357</v>
      </c>
      <c r="Z244" t="s">
        <v>131</v>
      </c>
      <c r="AA244" s="90">
        <v>95357</v>
      </c>
      <c r="AB244" t="s">
        <v>485</v>
      </c>
      <c r="AC244" t="s">
        <v>0</v>
      </c>
      <c r="AD244" t="s">
        <v>143</v>
      </c>
    </row>
    <row r="245" spans="2:30" x14ac:dyDescent="0.25">
      <c r="B245">
        <v>104489</v>
      </c>
      <c r="C245" t="s">
        <v>627</v>
      </c>
      <c r="D245">
        <v>2016</v>
      </c>
      <c r="F245" s="89">
        <v>6990.8363920000002</v>
      </c>
      <c r="G245" s="89" t="s">
        <v>128</v>
      </c>
      <c r="H245" s="89"/>
      <c r="I245" s="89">
        <v>6990.8363920000002</v>
      </c>
      <c r="J245" s="89">
        <v>0</v>
      </c>
      <c r="K245" s="89">
        <v>0</v>
      </c>
      <c r="L245" s="89">
        <v>0</v>
      </c>
      <c r="M245" s="89">
        <v>0</v>
      </c>
      <c r="N245" s="89"/>
      <c r="O245" s="89">
        <v>0</v>
      </c>
      <c r="P245" s="89">
        <v>0</v>
      </c>
      <c r="Q245" s="89">
        <v>0</v>
      </c>
      <c r="R245" s="89">
        <v>0</v>
      </c>
      <c r="S245" s="89">
        <v>6990.8363920000002</v>
      </c>
      <c r="T245"/>
      <c r="U245" t="s">
        <v>129</v>
      </c>
      <c r="V245" t="s">
        <v>129</v>
      </c>
      <c r="Y245" t="s">
        <v>628</v>
      </c>
      <c r="Z245" t="s">
        <v>131</v>
      </c>
      <c r="AA245" s="90">
        <v>93215</v>
      </c>
      <c r="AB245" t="s">
        <v>132</v>
      </c>
      <c r="AC245" t="s">
        <v>1</v>
      </c>
      <c r="AD245" t="s">
        <v>140</v>
      </c>
    </row>
    <row r="246" spans="2:30" x14ac:dyDescent="0.25">
      <c r="B246">
        <v>104655</v>
      </c>
      <c r="C246" t="s">
        <v>629</v>
      </c>
      <c r="D246">
        <v>2016</v>
      </c>
      <c r="F246" s="89">
        <v>11771.7157780416</v>
      </c>
      <c r="G246" s="89" t="s">
        <v>128</v>
      </c>
      <c r="H246" s="89"/>
      <c r="I246" s="89">
        <v>11771.7157780416</v>
      </c>
      <c r="J246" s="89">
        <v>0</v>
      </c>
      <c r="K246" s="89">
        <v>0</v>
      </c>
      <c r="L246" s="89">
        <v>0</v>
      </c>
      <c r="M246" s="89">
        <v>0</v>
      </c>
      <c r="N246" s="89"/>
      <c r="O246" s="89">
        <v>0</v>
      </c>
      <c r="P246" s="89">
        <v>0</v>
      </c>
      <c r="Q246" s="89">
        <v>0</v>
      </c>
      <c r="R246" s="89">
        <v>0</v>
      </c>
      <c r="S246" s="89">
        <v>11771.7157780416</v>
      </c>
      <c r="T246"/>
      <c r="U246" t="s">
        <v>129</v>
      </c>
      <c r="V246" t="s">
        <v>129</v>
      </c>
      <c r="Y246" t="s">
        <v>628</v>
      </c>
      <c r="Z246" t="s">
        <v>131</v>
      </c>
      <c r="AA246" s="90">
        <v>93215</v>
      </c>
      <c r="AB246" t="s">
        <v>630</v>
      </c>
      <c r="AC246" t="s">
        <v>0</v>
      </c>
      <c r="AD246" t="s">
        <v>143</v>
      </c>
    </row>
    <row r="247" spans="2:30" x14ac:dyDescent="0.25">
      <c r="B247">
        <v>101709</v>
      </c>
      <c r="C247" t="s">
        <v>631</v>
      </c>
      <c r="D247">
        <v>2016</v>
      </c>
      <c r="F247" s="89">
        <v>26958.055079999998</v>
      </c>
      <c r="G247" s="89" t="s">
        <v>128</v>
      </c>
      <c r="H247" s="89"/>
      <c r="I247" s="89">
        <v>26958.055079999998</v>
      </c>
      <c r="J247" s="89">
        <v>0</v>
      </c>
      <c r="K247" s="89">
        <v>0</v>
      </c>
      <c r="L247" s="89">
        <v>0</v>
      </c>
      <c r="M247" s="89">
        <v>0</v>
      </c>
      <c r="N247" s="89"/>
      <c r="O247" s="89">
        <v>26958.055079999998</v>
      </c>
      <c r="P247" s="89">
        <v>0</v>
      </c>
      <c r="Q247" s="89">
        <v>0</v>
      </c>
      <c r="R247" s="89">
        <v>26958.055079999998</v>
      </c>
      <c r="S247" s="89">
        <v>0</v>
      </c>
      <c r="T247"/>
      <c r="U247" t="s">
        <v>155</v>
      </c>
      <c r="V247" t="s">
        <v>129</v>
      </c>
      <c r="W247" t="s">
        <v>197</v>
      </c>
      <c r="Y247" t="s">
        <v>632</v>
      </c>
      <c r="Z247" t="s">
        <v>131</v>
      </c>
      <c r="AA247" s="90">
        <v>90222</v>
      </c>
      <c r="AB247" t="s">
        <v>633</v>
      </c>
      <c r="AC247" t="s">
        <v>0</v>
      </c>
      <c r="AD247" t="s">
        <v>143</v>
      </c>
    </row>
    <row r="248" spans="2:30" x14ac:dyDescent="0.25">
      <c r="B248">
        <v>100026</v>
      </c>
      <c r="C248" t="s">
        <v>634</v>
      </c>
      <c r="D248">
        <v>2016</v>
      </c>
      <c r="F248" s="89">
        <v>87243.018690761193</v>
      </c>
      <c r="G248" s="89" t="s">
        <v>128</v>
      </c>
      <c r="H248" s="89"/>
      <c r="I248" s="89">
        <v>6157.7186907612004</v>
      </c>
      <c r="J248" s="89">
        <v>81085.3</v>
      </c>
      <c r="K248" s="89">
        <v>0</v>
      </c>
      <c r="L248" s="89">
        <v>0</v>
      </c>
      <c r="M248" s="89">
        <v>0</v>
      </c>
      <c r="N248" s="89"/>
      <c r="O248" s="89">
        <v>0</v>
      </c>
      <c r="P248" s="89">
        <v>0</v>
      </c>
      <c r="Q248" s="89">
        <v>0</v>
      </c>
      <c r="R248" s="89">
        <v>0</v>
      </c>
      <c r="S248" s="89">
        <v>87243.018690761193</v>
      </c>
      <c r="T248"/>
      <c r="U248" t="s">
        <v>155</v>
      </c>
      <c r="V248" t="s">
        <v>129</v>
      </c>
      <c r="W248" t="s">
        <v>635</v>
      </c>
      <c r="Y248" t="s">
        <v>636</v>
      </c>
      <c r="Z248" t="s">
        <v>131</v>
      </c>
      <c r="AA248" s="90">
        <v>95564</v>
      </c>
      <c r="AB248" t="s">
        <v>241</v>
      </c>
      <c r="AC248" t="s">
        <v>0</v>
      </c>
      <c r="AD248" t="s">
        <v>140</v>
      </c>
    </row>
    <row r="249" spans="2:30" x14ac:dyDescent="0.25">
      <c r="B249">
        <v>104433</v>
      </c>
      <c r="C249" t="s">
        <v>637</v>
      </c>
      <c r="D249">
        <v>2016</v>
      </c>
      <c r="F249" s="89">
        <v>11756.594355200001</v>
      </c>
      <c r="G249" s="89" t="s">
        <v>128</v>
      </c>
      <c r="H249" s="89"/>
      <c r="I249" s="89">
        <v>11756.594355200001</v>
      </c>
      <c r="J249" s="89">
        <v>0</v>
      </c>
      <c r="K249" s="89">
        <v>0</v>
      </c>
      <c r="L249" s="89">
        <v>0</v>
      </c>
      <c r="M249" s="89">
        <v>0</v>
      </c>
      <c r="N249" s="89"/>
      <c r="O249" s="89">
        <v>0</v>
      </c>
      <c r="P249" s="89">
        <v>0</v>
      </c>
      <c r="Q249" s="89">
        <v>0</v>
      </c>
      <c r="R249" s="89">
        <v>0</v>
      </c>
      <c r="S249" s="89">
        <v>11756.594355200001</v>
      </c>
      <c r="T249"/>
      <c r="U249" t="s">
        <v>129</v>
      </c>
      <c r="V249" t="s">
        <v>129</v>
      </c>
      <c r="Y249" t="s">
        <v>410</v>
      </c>
      <c r="Z249" t="s">
        <v>131</v>
      </c>
      <c r="AA249" s="90">
        <v>95330</v>
      </c>
      <c r="AB249" t="s">
        <v>638</v>
      </c>
      <c r="AC249" t="s">
        <v>0</v>
      </c>
      <c r="AD249" t="s">
        <v>143</v>
      </c>
    </row>
    <row r="250" spans="2:30" x14ac:dyDescent="0.25">
      <c r="B250">
        <v>104690</v>
      </c>
      <c r="C250" t="s">
        <v>639</v>
      </c>
      <c r="D250">
        <v>2016</v>
      </c>
      <c r="F250" s="89">
        <v>10766.440665599999</v>
      </c>
      <c r="G250" s="89" t="s">
        <v>128</v>
      </c>
      <c r="H250" s="89"/>
      <c r="I250" s="89">
        <v>10766.440665599999</v>
      </c>
      <c r="J250" s="89">
        <v>0</v>
      </c>
      <c r="K250" s="89">
        <v>0</v>
      </c>
      <c r="L250" s="89">
        <v>0</v>
      </c>
      <c r="M250" s="89">
        <v>0</v>
      </c>
      <c r="N250" s="89"/>
      <c r="O250" s="89">
        <v>0</v>
      </c>
      <c r="P250" s="89">
        <v>0</v>
      </c>
      <c r="Q250" s="89">
        <v>0</v>
      </c>
      <c r="R250" s="89">
        <v>0</v>
      </c>
      <c r="S250" s="89">
        <v>10766.440665599999</v>
      </c>
      <c r="T250"/>
      <c r="U250" t="s">
        <v>129</v>
      </c>
      <c r="V250" t="s">
        <v>129</v>
      </c>
      <c r="Y250" t="s">
        <v>238</v>
      </c>
      <c r="Z250" t="s">
        <v>131</v>
      </c>
      <c r="AA250" s="90">
        <v>95366</v>
      </c>
      <c r="AB250" t="s">
        <v>638</v>
      </c>
      <c r="AC250" t="s">
        <v>0</v>
      </c>
      <c r="AD250" t="s">
        <v>143</v>
      </c>
    </row>
    <row r="251" spans="2:30" x14ac:dyDescent="0.25">
      <c r="B251">
        <v>101243</v>
      </c>
      <c r="C251" t="s">
        <v>640</v>
      </c>
      <c r="D251">
        <v>2016</v>
      </c>
      <c r="F251" s="89">
        <v>22804.763940411998</v>
      </c>
      <c r="G251" s="89" t="s">
        <v>128</v>
      </c>
      <c r="H251" s="89"/>
      <c r="I251" s="89">
        <v>22804.763940411998</v>
      </c>
      <c r="J251" s="89">
        <v>0</v>
      </c>
      <c r="K251" s="89">
        <v>0</v>
      </c>
      <c r="L251" s="89">
        <v>0</v>
      </c>
      <c r="M251" s="89">
        <v>0</v>
      </c>
      <c r="N251" s="89"/>
      <c r="O251" s="89">
        <v>22611.567060959998</v>
      </c>
      <c r="P251" s="89">
        <v>0</v>
      </c>
      <c r="Q251" s="89">
        <v>0</v>
      </c>
      <c r="R251" s="89">
        <v>22611.567060959998</v>
      </c>
      <c r="S251" s="89">
        <v>193.19687945199999</v>
      </c>
      <c r="T251"/>
      <c r="U251" t="s">
        <v>155</v>
      </c>
      <c r="V251" t="s">
        <v>155</v>
      </c>
      <c r="W251" t="s">
        <v>222</v>
      </c>
      <c r="Y251" t="s">
        <v>383</v>
      </c>
      <c r="Z251" t="s">
        <v>131</v>
      </c>
      <c r="AA251" s="90">
        <v>96013</v>
      </c>
      <c r="AB251" t="s">
        <v>641</v>
      </c>
      <c r="AC251" t="s">
        <v>0</v>
      </c>
      <c r="AD251" t="s">
        <v>143</v>
      </c>
    </row>
    <row r="252" spans="2:30" x14ac:dyDescent="0.25">
      <c r="B252">
        <v>100025</v>
      </c>
      <c r="C252" t="s">
        <v>642</v>
      </c>
      <c r="D252">
        <v>2016</v>
      </c>
      <c r="F252" s="89">
        <v>25.262271999999999</v>
      </c>
      <c r="G252" s="89" t="s">
        <v>128</v>
      </c>
      <c r="H252" s="89"/>
      <c r="I252" s="89">
        <v>25.262271999999999</v>
      </c>
      <c r="J252" s="89">
        <v>0</v>
      </c>
      <c r="K252" s="89">
        <v>0</v>
      </c>
      <c r="L252" s="89">
        <v>0</v>
      </c>
      <c r="M252" s="89">
        <v>0</v>
      </c>
      <c r="N252" s="89"/>
      <c r="O252" s="89">
        <v>0</v>
      </c>
      <c r="P252" s="89">
        <v>0</v>
      </c>
      <c r="Q252" s="89">
        <v>0</v>
      </c>
      <c r="R252" s="89">
        <v>0</v>
      </c>
      <c r="S252" s="89">
        <v>25.262271999999999</v>
      </c>
      <c r="T252"/>
      <c r="U252" t="s">
        <v>155</v>
      </c>
      <c r="V252" t="s">
        <v>129</v>
      </c>
      <c r="W252" t="s">
        <v>509</v>
      </c>
      <c r="Y252" t="s">
        <v>643</v>
      </c>
      <c r="Z252" t="s">
        <v>131</v>
      </c>
      <c r="AA252" s="90">
        <v>93654</v>
      </c>
      <c r="AB252" t="s">
        <v>139</v>
      </c>
      <c r="AC252" t="s">
        <v>0</v>
      </c>
      <c r="AD252" t="s">
        <v>140</v>
      </c>
    </row>
    <row r="253" spans="2:30" x14ac:dyDescent="0.25">
      <c r="B253">
        <v>2264</v>
      </c>
      <c r="C253" t="s">
        <v>644</v>
      </c>
      <c r="D253">
        <v>2016</v>
      </c>
      <c r="F253" s="89">
        <v>433115.82851366198</v>
      </c>
      <c r="G253" s="89" t="s">
        <v>128</v>
      </c>
      <c r="H253" s="89"/>
      <c r="I253" s="89">
        <v>0</v>
      </c>
      <c r="J253" s="89">
        <v>0</v>
      </c>
      <c r="K253" s="89">
        <v>0</v>
      </c>
      <c r="L253" s="89">
        <v>0</v>
      </c>
      <c r="M253" s="89">
        <v>433115.82851366198</v>
      </c>
      <c r="N253" s="89"/>
      <c r="O253" s="89">
        <v>0</v>
      </c>
      <c r="P253" s="89">
        <v>0</v>
      </c>
      <c r="Q253" s="89">
        <v>21133.141265137601</v>
      </c>
      <c r="R253" s="89">
        <v>21133.141265137601</v>
      </c>
      <c r="S253" s="89">
        <v>411982.68724852399</v>
      </c>
      <c r="T253"/>
      <c r="U253" t="s">
        <v>155</v>
      </c>
      <c r="V253" t="s">
        <v>129</v>
      </c>
      <c r="W253" t="s">
        <v>645</v>
      </c>
      <c r="Y253" t="s">
        <v>359</v>
      </c>
      <c r="Z253" t="s">
        <v>360</v>
      </c>
      <c r="AA253" s="90">
        <v>77046</v>
      </c>
      <c r="AB253" t="s">
        <v>158</v>
      </c>
      <c r="AC253" t="s">
        <v>136</v>
      </c>
      <c r="AD253" t="s">
        <v>137</v>
      </c>
    </row>
    <row r="254" spans="2:30" x14ac:dyDescent="0.25">
      <c r="B254">
        <v>101218</v>
      </c>
      <c r="C254" t="s">
        <v>646</v>
      </c>
      <c r="D254">
        <v>2016</v>
      </c>
      <c r="F254" s="89">
        <v>19872.742613710201</v>
      </c>
      <c r="G254" s="89" t="s">
        <v>128</v>
      </c>
      <c r="H254" s="89"/>
      <c r="I254" s="89">
        <v>19807.822613710199</v>
      </c>
      <c r="J254" s="89">
        <v>64.92</v>
      </c>
      <c r="K254" s="89">
        <v>0</v>
      </c>
      <c r="L254" s="89">
        <v>0</v>
      </c>
      <c r="M254" s="89">
        <v>0</v>
      </c>
      <c r="N254" s="89"/>
      <c r="O254" s="89">
        <v>0</v>
      </c>
      <c r="P254" s="89">
        <v>0</v>
      </c>
      <c r="Q254" s="89">
        <v>0</v>
      </c>
      <c r="R254" s="89">
        <v>0</v>
      </c>
      <c r="S254" s="89">
        <v>19872.742613710201</v>
      </c>
      <c r="T254"/>
      <c r="U254" t="s">
        <v>129</v>
      </c>
      <c r="V254" t="s">
        <v>129</v>
      </c>
      <c r="Y254" t="s">
        <v>489</v>
      </c>
      <c r="Z254" t="s">
        <v>131</v>
      </c>
      <c r="AA254" s="90">
        <v>92802</v>
      </c>
      <c r="AB254" t="s">
        <v>647</v>
      </c>
      <c r="AC254" t="s">
        <v>0</v>
      </c>
      <c r="AD254" t="s">
        <v>143</v>
      </c>
    </row>
    <row r="255" spans="2:30" x14ac:dyDescent="0.25">
      <c r="B255">
        <v>100157</v>
      </c>
      <c r="C255" t="s">
        <v>648</v>
      </c>
      <c r="D255">
        <v>2016</v>
      </c>
      <c r="F255" s="89">
        <v>5855.0488184811302</v>
      </c>
      <c r="G255" s="89" t="s">
        <v>128</v>
      </c>
      <c r="H255" s="89"/>
      <c r="I255" s="89">
        <v>5855.0488184811302</v>
      </c>
      <c r="J255" s="89">
        <v>0</v>
      </c>
      <c r="K255" s="89">
        <v>0</v>
      </c>
      <c r="L255" s="89">
        <v>0</v>
      </c>
      <c r="M255" s="89">
        <v>0</v>
      </c>
      <c r="N255" s="89"/>
      <c r="O255" s="89">
        <v>5855.0488184811302</v>
      </c>
      <c r="P255" s="89">
        <v>0</v>
      </c>
      <c r="Q255" s="89">
        <v>0</v>
      </c>
      <c r="R255" s="89">
        <v>5855.0488184811302</v>
      </c>
      <c r="S255" s="89">
        <v>0</v>
      </c>
      <c r="T255"/>
      <c r="U255" t="s">
        <v>155</v>
      </c>
      <c r="V255" t="s">
        <v>129</v>
      </c>
      <c r="W255" t="s">
        <v>277</v>
      </c>
      <c r="Y255" t="s">
        <v>178</v>
      </c>
      <c r="Z255" t="s">
        <v>131</v>
      </c>
      <c r="AA255" s="90">
        <v>93308</v>
      </c>
      <c r="AB255" t="s">
        <v>132</v>
      </c>
      <c r="AC255" t="s">
        <v>0</v>
      </c>
      <c r="AD255" t="s">
        <v>140</v>
      </c>
    </row>
    <row r="256" spans="2:30" x14ac:dyDescent="0.25">
      <c r="B256">
        <v>101733</v>
      </c>
      <c r="C256" t="s">
        <v>649</v>
      </c>
      <c r="D256">
        <v>2016</v>
      </c>
      <c r="F256" s="89">
        <v>48394.649685201599</v>
      </c>
      <c r="G256" s="89" t="s">
        <v>128</v>
      </c>
      <c r="H256" s="89"/>
      <c r="I256" s="89">
        <v>48394.649685201599</v>
      </c>
      <c r="J256" s="89">
        <v>0</v>
      </c>
      <c r="K256" s="89">
        <v>0</v>
      </c>
      <c r="L256" s="89">
        <v>0</v>
      </c>
      <c r="M256" s="89">
        <v>0</v>
      </c>
      <c r="N256" s="89"/>
      <c r="O256" s="89">
        <v>48392.854048000001</v>
      </c>
      <c r="P256" s="89">
        <v>0</v>
      </c>
      <c r="Q256" s="89">
        <v>0</v>
      </c>
      <c r="R256" s="89">
        <v>48392.854048000001</v>
      </c>
      <c r="S256" s="89">
        <v>1.7956372016</v>
      </c>
      <c r="T256"/>
      <c r="U256" t="s">
        <v>155</v>
      </c>
      <c r="V256" t="s">
        <v>129</v>
      </c>
      <c r="W256" t="s">
        <v>509</v>
      </c>
      <c r="Y256" t="s">
        <v>247</v>
      </c>
      <c r="Z256" t="s">
        <v>131</v>
      </c>
      <c r="AA256" s="90">
        <v>94565</v>
      </c>
      <c r="AB256" t="s">
        <v>195</v>
      </c>
      <c r="AC256" t="s">
        <v>0</v>
      </c>
      <c r="AD256" t="s">
        <v>143</v>
      </c>
    </row>
    <row r="257" spans="2:30" x14ac:dyDescent="0.25">
      <c r="B257">
        <v>104663</v>
      </c>
      <c r="C257" t="s">
        <v>650</v>
      </c>
      <c r="D257">
        <v>2016</v>
      </c>
      <c r="F257" s="89">
        <v>16368.2698736</v>
      </c>
      <c r="G257" s="89" t="s">
        <v>128</v>
      </c>
      <c r="H257" s="89"/>
      <c r="I257" s="89">
        <v>16368.2698736</v>
      </c>
      <c r="J257" s="89">
        <v>0</v>
      </c>
      <c r="K257" s="89">
        <v>0</v>
      </c>
      <c r="L257" s="89">
        <v>0</v>
      </c>
      <c r="M257" s="89">
        <v>0</v>
      </c>
      <c r="N257" s="89"/>
      <c r="O257" s="89">
        <v>0</v>
      </c>
      <c r="P257" s="89">
        <v>0</v>
      </c>
      <c r="Q257" s="89">
        <v>0</v>
      </c>
      <c r="R257" s="89">
        <v>0</v>
      </c>
      <c r="S257" s="89">
        <v>16368.2698736</v>
      </c>
      <c r="T257"/>
      <c r="U257" t="s">
        <v>129</v>
      </c>
      <c r="V257" t="s">
        <v>129</v>
      </c>
      <c r="Y257" t="s">
        <v>651</v>
      </c>
      <c r="Z257" t="s">
        <v>131</v>
      </c>
      <c r="AA257" s="90">
        <v>94558</v>
      </c>
      <c r="AB257" t="s">
        <v>500</v>
      </c>
      <c r="AC257" t="s">
        <v>0</v>
      </c>
      <c r="AD257" t="s">
        <v>143</v>
      </c>
    </row>
    <row r="258" spans="2:30" x14ac:dyDescent="0.25">
      <c r="B258">
        <v>104455</v>
      </c>
      <c r="C258" t="s">
        <v>652</v>
      </c>
      <c r="D258">
        <v>2016</v>
      </c>
      <c r="F258" s="89">
        <v>533375.06242189999</v>
      </c>
      <c r="G258" s="89" t="s">
        <v>128</v>
      </c>
      <c r="H258" s="89"/>
      <c r="I258" s="89">
        <v>11537.6624219</v>
      </c>
      <c r="J258" s="89">
        <v>521837.4</v>
      </c>
      <c r="K258" s="89">
        <v>0</v>
      </c>
      <c r="L258" s="89">
        <v>0</v>
      </c>
      <c r="M258" s="89">
        <v>0</v>
      </c>
      <c r="N258" s="89"/>
      <c r="O258" s="89">
        <v>0</v>
      </c>
      <c r="P258" s="89">
        <v>0</v>
      </c>
      <c r="Q258" s="89">
        <v>0</v>
      </c>
      <c r="R258" s="89">
        <v>0</v>
      </c>
      <c r="S258" s="89">
        <v>533375.06242189999</v>
      </c>
      <c r="T258"/>
      <c r="U258" t="s">
        <v>155</v>
      </c>
      <c r="V258" t="s">
        <v>129</v>
      </c>
      <c r="W258" t="s">
        <v>232</v>
      </c>
      <c r="Y258" t="s">
        <v>487</v>
      </c>
      <c r="Z258" t="s">
        <v>131</v>
      </c>
      <c r="AA258" s="90">
        <v>95203</v>
      </c>
      <c r="AB258" t="s">
        <v>241</v>
      </c>
      <c r="AC258" t="s">
        <v>385</v>
      </c>
      <c r="AD258" t="s">
        <v>140</v>
      </c>
    </row>
    <row r="259" spans="2:30" x14ac:dyDescent="0.25">
      <c r="B259">
        <v>100221</v>
      </c>
      <c r="C259" t="s">
        <v>653</v>
      </c>
      <c r="D259">
        <v>2016</v>
      </c>
      <c r="F259" s="89">
        <v>1039848.2849900801</v>
      </c>
      <c r="G259" s="89" t="s">
        <v>128</v>
      </c>
      <c r="H259" s="89"/>
      <c r="I259" s="89">
        <v>1039848.2849900801</v>
      </c>
      <c r="J259" s="89">
        <v>0</v>
      </c>
      <c r="K259" s="89">
        <v>0</v>
      </c>
      <c r="L259" s="89">
        <v>0</v>
      </c>
      <c r="M259" s="89">
        <v>0</v>
      </c>
      <c r="N259" s="89"/>
      <c r="O259" s="89">
        <v>1039848.2849900801</v>
      </c>
      <c r="P259" s="89">
        <v>0</v>
      </c>
      <c r="Q259" s="89">
        <v>0</v>
      </c>
      <c r="R259" s="89">
        <v>1039848.2849900801</v>
      </c>
      <c r="S259" s="89">
        <v>0</v>
      </c>
      <c r="T259"/>
      <c r="U259" t="s">
        <v>155</v>
      </c>
      <c r="V259" t="s">
        <v>129</v>
      </c>
      <c r="W259" t="s">
        <v>277</v>
      </c>
      <c r="Y259" t="s">
        <v>654</v>
      </c>
      <c r="Z259" t="s">
        <v>131</v>
      </c>
      <c r="AA259" s="90">
        <v>95039</v>
      </c>
      <c r="AB259" t="s">
        <v>132</v>
      </c>
      <c r="AC259" t="s">
        <v>385</v>
      </c>
      <c r="AD259" t="s">
        <v>140</v>
      </c>
    </row>
    <row r="260" spans="2:30" x14ac:dyDescent="0.25">
      <c r="B260">
        <v>101351</v>
      </c>
      <c r="C260" t="s">
        <v>655</v>
      </c>
      <c r="D260">
        <v>2016</v>
      </c>
      <c r="F260" s="89">
        <v>6065.0448762349297</v>
      </c>
      <c r="G260" s="89" t="s">
        <v>128</v>
      </c>
      <c r="H260" s="89"/>
      <c r="I260" s="89">
        <v>6065.0448762349297</v>
      </c>
      <c r="J260" s="89">
        <v>0</v>
      </c>
      <c r="K260" s="89">
        <v>0</v>
      </c>
      <c r="L260" s="89">
        <v>0</v>
      </c>
      <c r="M260" s="89">
        <v>0</v>
      </c>
      <c r="N260" s="89"/>
      <c r="O260" s="89">
        <v>0</v>
      </c>
      <c r="P260" s="89">
        <v>0</v>
      </c>
      <c r="Q260" s="89">
        <v>0</v>
      </c>
      <c r="R260" s="89">
        <v>0</v>
      </c>
      <c r="S260" s="89">
        <v>6065.0448762349297</v>
      </c>
      <c r="T260"/>
      <c r="U260" t="s">
        <v>129</v>
      </c>
      <c r="V260" t="s">
        <v>129</v>
      </c>
      <c r="Y260" t="s">
        <v>149</v>
      </c>
      <c r="Z260" t="s">
        <v>131</v>
      </c>
      <c r="AA260" s="90">
        <v>94607</v>
      </c>
      <c r="AB260" t="s">
        <v>132</v>
      </c>
      <c r="AC260" t="s">
        <v>0</v>
      </c>
      <c r="AD260" t="s">
        <v>140</v>
      </c>
    </row>
    <row r="261" spans="2:30" x14ac:dyDescent="0.25">
      <c r="B261">
        <v>100958</v>
      </c>
      <c r="C261" t="s">
        <v>656</v>
      </c>
      <c r="D261">
        <v>2016</v>
      </c>
      <c r="F261" s="89">
        <v>27852.548009569298</v>
      </c>
      <c r="G261" s="89" t="s">
        <v>128</v>
      </c>
      <c r="H261" s="89"/>
      <c r="I261" s="89">
        <v>24975.4480095693</v>
      </c>
      <c r="J261" s="89">
        <v>2877.1</v>
      </c>
      <c r="K261" s="89">
        <v>0</v>
      </c>
      <c r="L261" s="89">
        <v>0</v>
      </c>
      <c r="M261" s="89">
        <v>0</v>
      </c>
      <c r="N261" s="89"/>
      <c r="O261" s="89">
        <v>24975.4480095693</v>
      </c>
      <c r="P261" s="89">
        <v>0</v>
      </c>
      <c r="Q261" s="89">
        <v>0</v>
      </c>
      <c r="R261" s="89">
        <v>24975.4480095693</v>
      </c>
      <c r="S261" s="89">
        <v>2877.1</v>
      </c>
      <c r="T261"/>
      <c r="U261" t="s">
        <v>155</v>
      </c>
      <c r="V261" t="s">
        <v>155</v>
      </c>
      <c r="W261" t="s">
        <v>277</v>
      </c>
      <c r="Y261" t="s">
        <v>395</v>
      </c>
      <c r="Z261" t="s">
        <v>131</v>
      </c>
      <c r="AA261" s="90">
        <v>93727</v>
      </c>
      <c r="AB261" t="s">
        <v>657</v>
      </c>
      <c r="AC261" t="s">
        <v>0</v>
      </c>
      <c r="AD261" t="s">
        <v>143</v>
      </c>
    </row>
    <row r="262" spans="2:30" x14ac:dyDescent="0.25">
      <c r="B262">
        <v>104640</v>
      </c>
      <c r="C262" t="s">
        <v>658</v>
      </c>
      <c r="D262">
        <v>2016</v>
      </c>
      <c r="F262" s="89">
        <v>18460.585484477699</v>
      </c>
      <c r="G262" s="89" t="s">
        <v>128</v>
      </c>
      <c r="H262" s="89"/>
      <c r="I262" s="89">
        <v>14236.9854844777</v>
      </c>
      <c r="J262" s="89">
        <v>4223.6000000000004</v>
      </c>
      <c r="K262" s="89">
        <v>0</v>
      </c>
      <c r="L262" s="89">
        <v>0</v>
      </c>
      <c r="M262" s="89">
        <v>0</v>
      </c>
      <c r="N262" s="89"/>
      <c r="O262" s="89">
        <v>0</v>
      </c>
      <c r="P262" s="89">
        <v>0</v>
      </c>
      <c r="Q262" s="89">
        <v>0</v>
      </c>
      <c r="R262" s="89">
        <v>0</v>
      </c>
      <c r="S262" s="89">
        <v>18460.585484477699</v>
      </c>
      <c r="T262"/>
      <c r="U262" t="s">
        <v>129</v>
      </c>
      <c r="V262" t="s">
        <v>129</v>
      </c>
      <c r="Y262" t="s">
        <v>659</v>
      </c>
      <c r="Z262" t="s">
        <v>131</v>
      </c>
      <c r="AA262" s="90">
        <v>95334</v>
      </c>
      <c r="AB262" t="s">
        <v>657</v>
      </c>
      <c r="AC262" t="s">
        <v>0</v>
      </c>
      <c r="AD262" t="s">
        <v>143</v>
      </c>
    </row>
    <row r="263" spans="2:30" x14ac:dyDescent="0.25">
      <c r="B263">
        <v>104215</v>
      </c>
      <c r="C263" t="s">
        <v>660</v>
      </c>
      <c r="D263">
        <v>2016</v>
      </c>
      <c r="F263" s="89">
        <v>325323.90300817101</v>
      </c>
      <c r="G263" s="89" t="s">
        <v>128</v>
      </c>
      <c r="H263" s="89"/>
      <c r="I263" s="89">
        <v>325323.90300817101</v>
      </c>
      <c r="J263" s="89">
        <v>0</v>
      </c>
      <c r="K263" s="89">
        <v>0</v>
      </c>
      <c r="L263" s="89">
        <v>0</v>
      </c>
      <c r="M263" s="89">
        <v>0</v>
      </c>
      <c r="N263" s="89"/>
      <c r="O263" s="89">
        <v>323987.86399494403</v>
      </c>
      <c r="P263" s="89">
        <v>0</v>
      </c>
      <c r="Q263" s="89">
        <v>0</v>
      </c>
      <c r="R263" s="89">
        <v>323987.86399494403</v>
      </c>
      <c r="S263" s="89">
        <v>1336.0390132278001</v>
      </c>
      <c r="T263"/>
      <c r="U263" t="s">
        <v>155</v>
      </c>
      <c r="V263" t="s">
        <v>155</v>
      </c>
      <c r="W263" t="s">
        <v>277</v>
      </c>
      <c r="Y263" t="s">
        <v>178</v>
      </c>
      <c r="Z263" t="s">
        <v>131</v>
      </c>
      <c r="AA263" s="90">
        <v>93308</v>
      </c>
      <c r="AB263" t="s">
        <v>170</v>
      </c>
      <c r="AC263" t="s">
        <v>175</v>
      </c>
      <c r="AD263" t="s">
        <v>176</v>
      </c>
    </row>
    <row r="264" spans="2:30" x14ac:dyDescent="0.25">
      <c r="B264">
        <v>101355</v>
      </c>
      <c r="C264" t="s">
        <v>661</v>
      </c>
      <c r="D264">
        <v>2016</v>
      </c>
      <c r="F264" s="89">
        <v>79123.796397958402</v>
      </c>
      <c r="G264" s="89" t="s">
        <v>128</v>
      </c>
      <c r="H264" s="89"/>
      <c r="I264" s="89">
        <v>79123.796397958402</v>
      </c>
      <c r="J264" s="89">
        <v>0</v>
      </c>
      <c r="K264" s="89">
        <v>0</v>
      </c>
      <c r="L264" s="89">
        <v>0</v>
      </c>
      <c r="M264" s="89">
        <v>0</v>
      </c>
      <c r="N264" s="89"/>
      <c r="O264" s="89">
        <v>79123.796397958402</v>
      </c>
      <c r="P264" s="89">
        <v>0</v>
      </c>
      <c r="Q264" s="89">
        <v>0</v>
      </c>
      <c r="R264" s="89">
        <v>79123.796397958402</v>
      </c>
      <c r="S264" s="89">
        <v>0</v>
      </c>
      <c r="T264"/>
      <c r="U264" t="s">
        <v>155</v>
      </c>
      <c r="V264" t="s">
        <v>129</v>
      </c>
      <c r="W264" t="s">
        <v>277</v>
      </c>
      <c r="Y264" t="s">
        <v>289</v>
      </c>
      <c r="Z264" t="s">
        <v>131</v>
      </c>
      <c r="AA264" s="90">
        <v>93030</v>
      </c>
      <c r="AB264" t="s">
        <v>132</v>
      </c>
      <c r="AC264" t="s">
        <v>0</v>
      </c>
      <c r="AD264" t="s">
        <v>133</v>
      </c>
    </row>
    <row r="265" spans="2:30" x14ac:dyDescent="0.25">
      <c r="B265">
        <v>104581</v>
      </c>
      <c r="C265" t="s">
        <v>662</v>
      </c>
      <c r="D265">
        <v>2016</v>
      </c>
      <c r="F265" s="89">
        <v>26907.201409599998</v>
      </c>
      <c r="G265" s="89" t="s">
        <v>128</v>
      </c>
      <c r="H265" s="89"/>
      <c r="I265" s="89">
        <v>26907.201409599998</v>
      </c>
      <c r="J265" s="89">
        <v>0</v>
      </c>
      <c r="K265" s="89">
        <v>0</v>
      </c>
      <c r="L265" s="89">
        <v>0</v>
      </c>
      <c r="M265" s="89">
        <v>0</v>
      </c>
      <c r="N265" s="89"/>
      <c r="O265" s="89">
        <v>26850.016409600001</v>
      </c>
      <c r="P265" s="89">
        <v>0</v>
      </c>
      <c r="Q265" s="89">
        <v>0</v>
      </c>
      <c r="R265" s="89">
        <v>26850.016409600001</v>
      </c>
      <c r="S265" s="89">
        <v>57.185000000000002</v>
      </c>
      <c r="T265"/>
      <c r="U265" t="s">
        <v>155</v>
      </c>
      <c r="V265" t="s">
        <v>155</v>
      </c>
      <c r="W265" t="s">
        <v>277</v>
      </c>
      <c r="Y265" t="s">
        <v>174</v>
      </c>
      <c r="Z265" t="s">
        <v>131</v>
      </c>
      <c r="AA265" s="90">
        <v>93450</v>
      </c>
      <c r="AB265" t="s">
        <v>170</v>
      </c>
      <c r="AC265" t="s">
        <v>175</v>
      </c>
      <c r="AD265" t="s">
        <v>176</v>
      </c>
    </row>
    <row r="266" spans="2:30" x14ac:dyDescent="0.25">
      <c r="B266">
        <v>101511</v>
      </c>
      <c r="C266" t="s">
        <v>663</v>
      </c>
      <c r="D266">
        <v>2016</v>
      </c>
      <c r="F266" s="89">
        <v>33444.590620923402</v>
      </c>
      <c r="G266" s="89" t="s">
        <v>128</v>
      </c>
      <c r="H266" s="89"/>
      <c r="I266" s="89">
        <v>994.99062092342501</v>
      </c>
      <c r="J266" s="89">
        <v>32449.599999999999</v>
      </c>
      <c r="K266" s="89">
        <v>0</v>
      </c>
      <c r="L266" s="89">
        <v>0</v>
      </c>
      <c r="M266" s="89">
        <v>0</v>
      </c>
      <c r="N266" s="89"/>
      <c r="O266" s="89">
        <v>0</v>
      </c>
      <c r="P266" s="89">
        <v>0</v>
      </c>
      <c r="Q266" s="89">
        <v>0</v>
      </c>
      <c r="R266" s="89">
        <v>0</v>
      </c>
      <c r="S266" s="89">
        <v>33444.590620923402</v>
      </c>
      <c r="T266"/>
      <c r="U266" t="s">
        <v>155</v>
      </c>
      <c r="V266" t="s">
        <v>129</v>
      </c>
      <c r="W266" t="s">
        <v>337</v>
      </c>
      <c r="Y266" t="s">
        <v>149</v>
      </c>
      <c r="Z266" t="s">
        <v>131</v>
      </c>
      <c r="AA266" s="90">
        <v>94607</v>
      </c>
      <c r="AB266" t="s">
        <v>504</v>
      </c>
      <c r="AC266" t="s">
        <v>0</v>
      </c>
      <c r="AD266" t="s">
        <v>143</v>
      </c>
    </row>
    <row r="267" spans="2:30" x14ac:dyDescent="0.25">
      <c r="B267">
        <v>3033</v>
      </c>
      <c r="C267" t="s">
        <v>664</v>
      </c>
      <c r="D267">
        <v>2016</v>
      </c>
      <c r="F267" s="89">
        <v>0</v>
      </c>
      <c r="G267" s="89" t="s">
        <v>128</v>
      </c>
      <c r="H267" s="89"/>
      <c r="I267" s="89">
        <v>0</v>
      </c>
      <c r="J267" s="89">
        <v>0</v>
      </c>
      <c r="K267" s="89">
        <v>0</v>
      </c>
      <c r="L267" s="89">
        <v>0</v>
      </c>
      <c r="M267" s="89">
        <v>0</v>
      </c>
      <c r="N267" s="89"/>
      <c r="O267" s="89">
        <v>0</v>
      </c>
      <c r="P267" s="89">
        <v>0</v>
      </c>
      <c r="Q267" s="89">
        <v>0</v>
      </c>
      <c r="R267" s="89">
        <v>0</v>
      </c>
      <c r="S267" s="89">
        <v>0</v>
      </c>
      <c r="T267"/>
      <c r="U267" t="s">
        <v>129</v>
      </c>
      <c r="V267" t="s">
        <v>129</v>
      </c>
      <c r="Y267" t="s">
        <v>628</v>
      </c>
      <c r="Z267" t="s">
        <v>131</v>
      </c>
      <c r="AA267" s="90">
        <v>90120</v>
      </c>
      <c r="AB267" t="s">
        <v>665</v>
      </c>
      <c r="AC267" t="s">
        <v>136</v>
      </c>
      <c r="AD267" t="s">
        <v>137</v>
      </c>
    </row>
    <row r="268" spans="2:30" x14ac:dyDescent="0.25">
      <c r="B268">
        <v>100259</v>
      </c>
      <c r="C268" t="s">
        <v>666</v>
      </c>
      <c r="D268">
        <v>2016</v>
      </c>
      <c r="F268" s="89">
        <v>32802.561013790997</v>
      </c>
      <c r="G268" s="89" t="s">
        <v>128</v>
      </c>
      <c r="H268" s="89"/>
      <c r="I268" s="89">
        <v>32802.561013790997</v>
      </c>
      <c r="J268" s="89">
        <v>0</v>
      </c>
      <c r="K268" s="89">
        <v>0</v>
      </c>
      <c r="L268" s="89">
        <v>0</v>
      </c>
      <c r="M268" s="89">
        <v>0</v>
      </c>
      <c r="N268" s="89"/>
      <c r="O268" s="89">
        <v>32800.661337600002</v>
      </c>
      <c r="P268" s="89">
        <v>0</v>
      </c>
      <c r="Q268" s="89">
        <v>0</v>
      </c>
      <c r="R268" s="89">
        <v>32800.661337600002</v>
      </c>
      <c r="S268" s="89">
        <v>1.899676191</v>
      </c>
      <c r="T268"/>
      <c r="U268" t="s">
        <v>155</v>
      </c>
      <c r="V268" t="s">
        <v>129</v>
      </c>
      <c r="W268" t="s">
        <v>232</v>
      </c>
      <c r="Y268" t="s">
        <v>207</v>
      </c>
      <c r="Z268" t="s">
        <v>131</v>
      </c>
      <c r="AA268" s="90">
        <v>90810</v>
      </c>
      <c r="AB268" t="s">
        <v>610</v>
      </c>
      <c r="AC268" t="s">
        <v>0</v>
      </c>
      <c r="AD268" t="s">
        <v>143</v>
      </c>
    </row>
    <row r="269" spans="2:30" x14ac:dyDescent="0.25">
      <c r="B269">
        <v>100258</v>
      </c>
      <c r="C269" t="s">
        <v>667</v>
      </c>
      <c r="D269">
        <v>2016</v>
      </c>
      <c r="F269" s="89">
        <v>14679.820016992</v>
      </c>
      <c r="G269" s="89" t="s">
        <v>128</v>
      </c>
      <c r="H269" s="89"/>
      <c r="I269" s="89">
        <v>14679.820016992</v>
      </c>
      <c r="J269" s="89">
        <v>0</v>
      </c>
      <c r="K269" s="89">
        <v>0</v>
      </c>
      <c r="L269" s="89">
        <v>0</v>
      </c>
      <c r="M269" s="89">
        <v>0</v>
      </c>
      <c r="N269" s="89"/>
      <c r="O269" s="89">
        <v>0</v>
      </c>
      <c r="P269" s="89">
        <v>0</v>
      </c>
      <c r="Q269" s="89">
        <v>0</v>
      </c>
      <c r="R269" s="89">
        <v>0</v>
      </c>
      <c r="S269" s="89">
        <v>14679.820016992</v>
      </c>
      <c r="T269"/>
      <c r="U269" t="s">
        <v>129</v>
      </c>
      <c r="V269" t="s">
        <v>129</v>
      </c>
      <c r="Y269" t="s">
        <v>205</v>
      </c>
      <c r="Z269" t="s">
        <v>131</v>
      </c>
      <c r="AA269" s="90">
        <v>94553</v>
      </c>
      <c r="AB269" t="s">
        <v>610</v>
      </c>
      <c r="AC269" t="s">
        <v>0</v>
      </c>
      <c r="AD269" t="s">
        <v>133</v>
      </c>
    </row>
    <row r="270" spans="2:30" x14ac:dyDescent="0.25">
      <c r="B270">
        <v>104546</v>
      </c>
      <c r="C270" t="s">
        <v>668</v>
      </c>
      <c r="D270">
        <v>2016</v>
      </c>
      <c r="F270" s="89">
        <v>22504.286552784</v>
      </c>
      <c r="G270" s="89" t="s">
        <v>128</v>
      </c>
      <c r="H270" s="89"/>
      <c r="I270" s="89">
        <v>0</v>
      </c>
      <c r="J270" s="89">
        <v>0</v>
      </c>
      <c r="K270" s="89">
        <v>22504.286552784</v>
      </c>
      <c r="L270" s="89">
        <v>0</v>
      </c>
      <c r="M270" s="89">
        <v>0</v>
      </c>
      <c r="N270" s="89"/>
      <c r="O270" s="89">
        <v>0</v>
      </c>
      <c r="P270" s="89">
        <v>0</v>
      </c>
      <c r="Q270" s="89">
        <v>0</v>
      </c>
      <c r="R270" s="89">
        <v>0</v>
      </c>
      <c r="S270" s="89">
        <v>22504.286552784</v>
      </c>
      <c r="T270"/>
      <c r="U270" t="s">
        <v>129</v>
      </c>
      <c r="V270" t="s">
        <v>129</v>
      </c>
      <c r="Y270" t="s">
        <v>669</v>
      </c>
      <c r="Z270" t="s">
        <v>301</v>
      </c>
      <c r="AA270" s="90">
        <v>97601</v>
      </c>
      <c r="AB270" t="s">
        <v>146</v>
      </c>
      <c r="AC270" t="s">
        <v>259</v>
      </c>
      <c r="AD270" t="s">
        <v>260</v>
      </c>
    </row>
    <row r="271" spans="2:30" x14ac:dyDescent="0.25">
      <c r="B271">
        <v>104452</v>
      </c>
      <c r="C271" t="s">
        <v>670</v>
      </c>
      <c r="D271">
        <v>2016</v>
      </c>
      <c r="F271" s="89">
        <v>0</v>
      </c>
      <c r="G271" s="89" t="s">
        <v>128</v>
      </c>
      <c r="H271" s="89"/>
      <c r="I271" s="89">
        <v>0</v>
      </c>
      <c r="J271" s="89">
        <v>0</v>
      </c>
      <c r="K271" s="89">
        <v>0</v>
      </c>
      <c r="L271" s="89">
        <v>0</v>
      </c>
      <c r="M271" s="89">
        <v>0</v>
      </c>
      <c r="N271" s="89"/>
      <c r="O271" s="89">
        <v>0</v>
      </c>
      <c r="P271" s="89">
        <v>0</v>
      </c>
      <c r="Q271" s="89">
        <v>0</v>
      </c>
      <c r="R271" s="89">
        <v>0</v>
      </c>
      <c r="S271" s="89">
        <v>0</v>
      </c>
      <c r="T271"/>
      <c r="U271" t="s">
        <v>129</v>
      </c>
      <c r="V271" t="s">
        <v>129</v>
      </c>
      <c r="Y271" t="s">
        <v>359</v>
      </c>
      <c r="Z271" t="s">
        <v>360</v>
      </c>
      <c r="AA271" s="90">
        <v>77041</v>
      </c>
      <c r="AB271" t="s">
        <v>355</v>
      </c>
      <c r="AC271" t="s">
        <v>136</v>
      </c>
      <c r="AD271" t="s">
        <v>137</v>
      </c>
    </row>
    <row r="272" spans="2:30" x14ac:dyDescent="0.25">
      <c r="B272">
        <v>104067</v>
      </c>
      <c r="C272" t="s">
        <v>671</v>
      </c>
      <c r="D272">
        <v>2016</v>
      </c>
      <c r="F272" s="89">
        <v>185543.68259225899</v>
      </c>
      <c r="G272" s="89" t="s">
        <v>128</v>
      </c>
      <c r="H272" s="89"/>
      <c r="I272" s="89">
        <v>0</v>
      </c>
      <c r="J272" s="89">
        <v>0</v>
      </c>
      <c r="K272" s="89">
        <v>0</v>
      </c>
      <c r="L272" s="89">
        <v>0</v>
      </c>
      <c r="M272" s="89">
        <v>185543.68259225899</v>
      </c>
      <c r="N272" s="89"/>
      <c r="O272" s="89">
        <v>0</v>
      </c>
      <c r="P272" s="89">
        <v>0</v>
      </c>
      <c r="Q272" s="89">
        <v>59240.142372259499</v>
      </c>
      <c r="R272" s="89">
        <v>59240.142372259499</v>
      </c>
      <c r="S272" s="89">
        <v>126303.54021999901</v>
      </c>
      <c r="T272"/>
      <c r="U272" t="s">
        <v>155</v>
      </c>
      <c r="V272" t="s">
        <v>129</v>
      </c>
      <c r="W272" t="s">
        <v>277</v>
      </c>
      <c r="Y272" t="s">
        <v>359</v>
      </c>
      <c r="Z272" t="s">
        <v>360</v>
      </c>
      <c r="AA272" s="90">
        <v>77041</v>
      </c>
      <c r="AB272" t="s">
        <v>527</v>
      </c>
      <c r="AC272" t="s">
        <v>136</v>
      </c>
      <c r="AD272" t="s">
        <v>137</v>
      </c>
    </row>
    <row r="273" spans="2:30" x14ac:dyDescent="0.25">
      <c r="B273">
        <v>101320</v>
      </c>
      <c r="C273" t="s">
        <v>672</v>
      </c>
      <c r="D273">
        <v>2016</v>
      </c>
      <c r="F273" s="89">
        <v>4.6278784000000002</v>
      </c>
      <c r="G273" s="89" t="s">
        <v>128</v>
      </c>
      <c r="H273" s="89"/>
      <c r="I273" s="89">
        <v>4.6278784000000002</v>
      </c>
      <c r="J273" s="89">
        <v>0</v>
      </c>
      <c r="K273" s="89">
        <v>0</v>
      </c>
      <c r="L273" s="89">
        <v>0</v>
      </c>
      <c r="M273" s="89">
        <v>0</v>
      </c>
      <c r="N273" s="89"/>
      <c r="O273" s="89">
        <v>0</v>
      </c>
      <c r="P273" s="89">
        <v>0</v>
      </c>
      <c r="Q273" s="89">
        <v>0</v>
      </c>
      <c r="R273" s="89">
        <v>0</v>
      </c>
      <c r="S273" s="89">
        <v>4.6278784000000002</v>
      </c>
      <c r="T273"/>
      <c r="U273" t="s">
        <v>155</v>
      </c>
      <c r="V273" t="s">
        <v>129</v>
      </c>
      <c r="W273" t="s">
        <v>197</v>
      </c>
      <c r="Y273" t="s">
        <v>185</v>
      </c>
      <c r="Z273" t="s">
        <v>131</v>
      </c>
      <c r="AA273" s="90">
        <v>90805</v>
      </c>
      <c r="AB273" t="s">
        <v>229</v>
      </c>
      <c r="AC273" t="s">
        <v>0</v>
      </c>
      <c r="AD273" t="s">
        <v>230</v>
      </c>
    </row>
    <row r="274" spans="2:30" x14ac:dyDescent="0.25">
      <c r="B274">
        <v>104204</v>
      </c>
      <c r="C274" t="s">
        <v>673</v>
      </c>
      <c r="D274">
        <v>2016</v>
      </c>
      <c r="F274" s="89">
        <v>16337.7817861474</v>
      </c>
      <c r="G274" s="89" t="s">
        <v>128</v>
      </c>
      <c r="H274" s="89"/>
      <c r="I274" s="89">
        <v>16337.7817861474</v>
      </c>
      <c r="J274" s="89">
        <v>0</v>
      </c>
      <c r="K274" s="89">
        <v>0</v>
      </c>
      <c r="L274" s="89">
        <v>0</v>
      </c>
      <c r="M274" s="89">
        <v>0</v>
      </c>
      <c r="N274" s="89"/>
      <c r="O274" s="89">
        <v>0</v>
      </c>
      <c r="P274" s="89">
        <v>0</v>
      </c>
      <c r="Q274" s="89">
        <v>0</v>
      </c>
      <c r="R274" s="89">
        <v>0</v>
      </c>
      <c r="S274" s="89">
        <v>16337.7817861474</v>
      </c>
      <c r="T274"/>
      <c r="U274" t="s">
        <v>129</v>
      </c>
      <c r="V274" t="s">
        <v>129</v>
      </c>
      <c r="Y274" t="s">
        <v>674</v>
      </c>
      <c r="Z274" t="s">
        <v>131</v>
      </c>
      <c r="AA274" s="90">
        <v>93524</v>
      </c>
      <c r="AB274" t="s">
        <v>675</v>
      </c>
      <c r="AC274" t="s">
        <v>0</v>
      </c>
      <c r="AD274" t="s">
        <v>143</v>
      </c>
    </row>
    <row r="275" spans="2:30" x14ac:dyDescent="0.25">
      <c r="B275">
        <v>104374</v>
      </c>
      <c r="C275" t="s">
        <v>676</v>
      </c>
      <c r="D275">
        <v>2016</v>
      </c>
      <c r="F275" s="89">
        <v>17013.609472</v>
      </c>
      <c r="G275" s="89" t="s">
        <v>128</v>
      </c>
      <c r="H275" s="89"/>
      <c r="I275" s="89">
        <v>17013.609472</v>
      </c>
      <c r="J275" s="89">
        <v>0</v>
      </c>
      <c r="K275" s="89">
        <v>0</v>
      </c>
      <c r="L275" s="89">
        <v>0</v>
      </c>
      <c r="M275" s="89">
        <v>0</v>
      </c>
      <c r="N275" s="89"/>
      <c r="O275" s="89">
        <v>0</v>
      </c>
      <c r="P275" s="89">
        <v>0</v>
      </c>
      <c r="Q275" s="89">
        <v>0</v>
      </c>
      <c r="R275" s="89">
        <v>0</v>
      </c>
      <c r="S275" s="89">
        <v>17013.609472</v>
      </c>
      <c r="T275"/>
      <c r="U275" t="s">
        <v>129</v>
      </c>
      <c r="V275" t="s">
        <v>129</v>
      </c>
      <c r="Y275" t="s">
        <v>677</v>
      </c>
      <c r="Z275" t="s">
        <v>131</v>
      </c>
      <c r="AA275" s="90">
        <v>92270</v>
      </c>
      <c r="AB275" t="s">
        <v>500</v>
      </c>
      <c r="AC275" t="s">
        <v>0</v>
      </c>
      <c r="AD275" t="s">
        <v>143</v>
      </c>
    </row>
    <row r="276" spans="2:30" x14ac:dyDescent="0.25">
      <c r="B276">
        <v>104079</v>
      </c>
      <c r="C276" t="s">
        <v>678</v>
      </c>
      <c r="D276">
        <v>2016</v>
      </c>
      <c r="F276" s="89">
        <v>6055.3049199999996</v>
      </c>
      <c r="G276" s="89" t="s">
        <v>128</v>
      </c>
      <c r="H276" s="89"/>
      <c r="I276" s="89">
        <v>6055.3049199999996</v>
      </c>
      <c r="J276" s="89">
        <v>0</v>
      </c>
      <c r="K276" s="89">
        <v>0</v>
      </c>
      <c r="L276" s="89">
        <v>0</v>
      </c>
      <c r="M276" s="89">
        <v>0</v>
      </c>
      <c r="N276" s="89"/>
      <c r="O276" s="89">
        <v>0</v>
      </c>
      <c r="P276" s="89">
        <v>0</v>
      </c>
      <c r="Q276" s="89">
        <v>0</v>
      </c>
      <c r="R276" s="89">
        <v>0</v>
      </c>
      <c r="S276" s="89">
        <v>6055.3049199999996</v>
      </c>
      <c r="T276"/>
      <c r="U276" t="s">
        <v>129</v>
      </c>
      <c r="V276" t="s">
        <v>129</v>
      </c>
      <c r="Y276" t="s">
        <v>679</v>
      </c>
      <c r="Z276" t="s">
        <v>131</v>
      </c>
      <c r="AA276" s="90">
        <v>92020</v>
      </c>
      <c r="AB276" t="s">
        <v>132</v>
      </c>
      <c r="AC276" t="s">
        <v>1</v>
      </c>
      <c r="AD276" t="s">
        <v>140</v>
      </c>
    </row>
    <row r="277" spans="2:30" x14ac:dyDescent="0.25">
      <c r="B277">
        <v>104622</v>
      </c>
      <c r="C277" t="s">
        <v>680</v>
      </c>
      <c r="D277">
        <v>2016</v>
      </c>
      <c r="F277" s="89">
        <v>8595.5411199999999</v>
      </c>
      <c r="G277" s="89" t="s">
        <v>128</v>
      </c>
      <c r="H277" s="89"/>
      <c r="I277" s="89">
        <v>8595.5411199999999</v>
      </c>
      <c r="J277" s="89">
        <v>0</v>
      </c>
      <c r="K277" s="89">
        <v>0</v>
      </c>
      <c r="L277" s="89">
        <v>0</v>
      </c>
      <c r="M277" s="89">
        <v>0</v>
      </c>
      <c r="N277" s="89"/>
      <c r="O277" s="89">
        <v>0</v>
      </c>
      <c r="P277" s="89">
        <v>0</v>
      </c>
      <c r="Q277" s="89">
        <v>0</v>
      </c>
      <c r="R277" s="89">
        <v>0</v>
      </c>
      <c r="S277" s="89">
        <v>8595.5411199999999</v>
      </c>
      <c r="T277"/>
      <c r="U277" t="s">
        <v>129</v>
      </c>
      <c r="V277" t="s">
        <v>129</v>
      </c>
      <c r="Y277" t="s">
        <v>681</v>
      </c>
      <c r="Z277" t="s">
        <v>131</v>
      </c>
      <c r="AA277" s="90">
        <v>93301</v>
      </c>
      <c r="AB277" t="s">
        <v>682</v>
      </c>
      <c r="AC277" t="s">
        <v>0</v>
      </c>
      <c r="AD277" t="s">
        <v>143</v>
      </c>
    </row>
    <row r="278" spans="2:30" x14ac:dyDescent="0.25">
      <c r="B278">
        <v>100167</v>
      </c>
      <c r="C278" t="s">
        <v>683</v>
      </c>
      <c r="D278">
        <v>2016</v>
      </c>
      <c r="F278" s="89">
        <v>15646.4187871297</v>
      </c>
      <c r="G278" s="89" t="s">
        <v>128</v>
      </c>
      <c r="H278" s="89"/>
      <c r="I278" s="89">
        <v>4324.41878712979</v>
      </c>
      <c r="J278" s="89">
        <v>11322</v>
      </c>
      <c r="K278" s="89">
        <v>0</v>
      </c>
      <c r="L278" s="89">
        <v>0</v>
      </c>
      <c r="M278" s="89">
        <v>0</v>
      </c>
      <c r="N278" s="89"/>
      <c r="O278" s="89">
        <v>0</v>
      </c>
      <c r="P278" s="89">
        <v>0</v>
      </c>
      <c r="Q278" s="89">
        <v>0</v>
      </c>
      <c r="R278" s="89">
        <v>0</v>
      </c>
      <c r="S278" s="89">
        <v>15646.4187871297</v>
      </c>
      <c r="T278"/>
      <c r="U278" t="s">
        <v>129</v>
      </c>
      <c r="V278" t="s">
        <v>129</v>
      </c>
      <c r="Y278" t="s">
        <v>684</v>
      </c>
      <c r="Z278" t="s">
        <v>131</v>
      </c>
      <c r="AA278" s="90">
        <v>92011</v>
      </c>
      <c r="AB278" t="s">
        <v>504</v>
      </c>
      <c r="AC278" t="s">
        <v>0</v>
      </c>
      <c r="AD278" t="s">
        <v>143</v>
      </c>
    </row>
    <row r="279" spans="2:30" x14ac:dyDescent="0.25">
      <c r="B279">
        <v>101738</v>
      </c>
      <c r="C279" t="s">
        <v>685</v>
      </c>
      <c r="D279">
        <v>2016</v>
      </c>
      <c r="F279" s="89">
        <v>12306.355445626899</v>
      </c>
      <c r="G279" s="89" t="s">
        <v>128</v>
      </c>
      <c r="H279" s="89"/>
      <c r="I279" s="89">
        <v>61.755445626979999</v>
      </c>
      <c r="J279" s="89">
        <v>12244.6</v>
      </c>
      <c r="K279" s="89">
        <v>0</v>
      </c>
      <c r="L279" s="89">
        <v>0</v>
      </c>
      <c r="M279" s="89">
        <v>0</v>
      </c>
      <c r="N279" s="89"/>
      <c r="O279" s="89">
        <v>0</v>
      </c>
      <c r="P279" s="89">
        <v>0</v>
      </c>
      <c r="Q279" s="89">
        <v>0</v>
      </c>
      <c r="R279" s="89">
        <v>0</v>
      </c>
      <c r="S279" s="89">
        <v>12306.355445626899</v>
      </c>
      <c r="T279"/>
      <c r="U279" t="s">
        <v>129</v>
      </c>
      <c r="V279" t="s">
        <v>129</v>
      </c>
      <c r="Y279" t="s">
        <v>686</v>
      </c>
      <c r="Z279" t="s">
        <v>131</v>
      </c>
      <c r="AA279" s="90">
        <v>95648</v>
      </c>
      <c r="AB279" t="s">
        <v>139</v>
      </c>
      <c r="AC279" t="s">
        <v>0</v>
      </c>
      <c r="AD279" t="s">
        <v>140</v>
      </c>
    </row>
    <row r="280" spans="2:30" x14ac:dyDescent="0.25">
      <c r="B280">
        <v>104458</v>
      </c>
      <c r="C280" t="s">
        <v>687</v>
      </c>
      <c r="D280">
        <v>2016</v>
      </c>
      <c r="F280" s="89">
        <v>29534.441065502298</v>
      </c>
      <c r="G280" s="89" t="s">
        <v>128</v>
      </c>
      <c r="H280" s="89"/>
      <c r="I280" s="89">
        <v>29534.441065502298</v>
      </c>
      <c r="J280" s="89">
        <v>0</v>
      </c>
      <c r="K280" s="89">
        <v>0</v>
      </c>
      <c r="L280" s="89">
        <v>0</v>
      </c>
      <c r="M280" s="89">
        <v>0</v>
      </c>
      <c r="N280" s="89"/>
      <c r="O280" s="89">
        <v>29309.791931625299</v>
      </c>
      <c r="P280" s="89">
        <v>0</v>
      </c>
      <c r="Q280" s="89">
        <v>0</v>
      </c>
      <c r="R280" s="89">
        <v>29309.791931625299</v>
      </c>
      <c r="S280" s="89">
        <v>224.649133877</v>
      </c>
      <c r="T280"/>
      <c r="U280" t="s">
        <v>210</v>
      </c>
      <c r="V280" t="s">
        <v>155</v>
      </c>
      <c r="W280" t="s">
        <v>368</v>
      </c>
      <c r="Y280" t="s">
        <v>688</v>
      </c>
      <c r="Z280" t="s">
        <v>131</v>
      </c>
      <c r="AA280" s="90">
        <v>93454</v>
      </c>
      <c r="AB280" t="s">
        <v>170</v>
      </c>
      <c r="AC280" t="s">
        <v>175</v>
      </c>
      <c r="AD280" t="s">
        <v>176</v>
      </c>
    </row>
    <row r="281" spans="2:30" x14ac:dyDescent="0.25">
      <c r="B281">
        <v>104200</v>
      </c>
      <c r="C281" t="s">
        <v>689</v>
      </c>
      <c r="D281">
        <v>2016</v>
      </c>
      <c r="F281" s="89">
        <v>22933.700849600002</v>
      </c>
      <c r="G281" s="89" t="s">
        <v>128</v>
      </c>
      <c r="H281" s="89"/>
      <c r="I281" s="89">
        <v>22933.700849600002</v>
      </c>
      <c r="J281" s="89">
        <v>0</v>
      </c>
      <c r="K281" s="89">
        <v>0</v>
      </c>
      <c r="L281" s="89">
        <v>0</v>
      </c>
      <c r="M281" s="89">
        <v>0</v>
      </c>
      <c r="N281" s="89"/>
      <c r="O281" s="89">
        <v>0</v>
      </c>
      <c r="P281" s="89">
        <v>0</v>
      </c>
      <c r="Q281" s="89">
        <v>0</v>
      </c>
      <c r="R281" s="89">
        <v>0</v>
      </c>
      <c r="S281" s="89">
        <v>22933.700849600002</v>
      </c>
      <c r="T281"/>
      <c r="U281" t="s">
        <v>129</v>
      </c>
      <c r="V281" t="s">
        <v>129</v>
      </c>
      <c r="Y281" t="s">
        <v>690</v>
      </c>
      <c r="Z281" t="s">
        <v>131</v>
      </c>
      <c r="AA281" s="90">
        <v>95320</v>
      </c>
      <c r="AB281" t="s">
        <v>485</v>
      </c>
      <c r="AC281" t="s">
        <v>0</v>
      </c>
      <c r="AD281" t="s">
        <v>143</v>
      </c>
    </row>
    <row r="282" spans="2:30" x14ac:dyDescent="0.25">
      <c r="B282">
        <v>104078</v>
      </c>
      <c r="C282" t="s">
        <v>691</v>
      </c>
      <c r="D282">
        <v>2016</v>
      </c>
      <c r="F282" s="89">
        <v>17665.223084000001</v>
      </c>
      <c r="G282" s="89" t="s">
        <v>128</v>
      </c>
      <c r="H282" s="89"/>
      <c r="I282" s="89">
        <v>17665.223084000001</v>
      </c>
      <c r="J282" s="89">
        <v>0</v>
      </c>
      <c r="K282" s="89">
        <v>0</v>
      </c>
      <c r="L282" s="89">
        <v>0</v>
      </c>
      <c r="M282" s="89">
        <v>0</v>
      </c>
      <c r="N282" s="89"/>
      <c r="O282" s="89">
        <v>17665.223084000001</v>
      </c>
      <c r="P282" s="89">
        <v>0</v>
      </c>
      <c r="Q282" s="89">
        <v>0</v>
      </c>
      <c r="R282" s="89">
        <v>17665.223084000001</v>
      </c>
      <c r="S282" s="89">
        <v>0</v>
      </c>
      <c r="T282"/>
      <c r="U282" t="s">
        <v>155</v>
      </c>
      <c r="V282" t="s">
        <v>129</v>
      </c>
      <c r="W282" t="s">
        <v>277</v>
      </c>
      <c r="Y282" t="s">
        <v>444</v>
      </c>
      <c r="Z282" t="s">
        <v>131</v>
      </c>
      <c r="AA282" s="90">
        <v>92029</v>
      </c>
      <c r="AB282" t="s">
        <v>132</v>
      </c>
      <c r="AC282" t="s">
        <v>385</v>
      </c>
      <c r="AD282" t="s">
        <v>140</v>
      </c>
    </row>
    <row r="283" spans="2:30" x14ac:dyDescent="0.25">
      <c r="B283">
        <v>100393</v>
      </c>
      <c r="C283" t="s">
        <v>692</v>
      </c>
      <c r="D283">
        <v>2016</v>
      </c>
      <c r="F283" s="89">
        <v>106586.490383638</v>
      </c>
      <c r="G283" s="89" t="s">
        <v>128</v>
      </c>
      <c r="H283" s="89"/>
      <c r="I283" s="89">
        <v>106586.490383638</v>
      </c>
      <c r="J283" s="89">
        <v>0</v>
      </c>
      <c r="K283" s="89">
        <v>0</v>
      </c>
      <c r="L283" s="89">
        <v>0</v>
      </c>
      <c r="M283" s="89">
        <v>0</v>
      </c>
      <c r="N283" s="89"/>
      <c r="O283" s="89">
        <v>106586.490383638</v>
      </c>
      <c r="P283" s="89">
        <v>0</v>
      </c>
      <c r="Q283" s="89">
        <v>0</v>
      </c>
      <c r="R283" s="89">
        <v>106586.490383638</v>
      </c>
      <c r="S283" s="89">
        <v>0</v>
      </c>
      <c r="T283"/>
      <c r="U283" t="s">
        <v>155</v>
      </c>
      <c r="V283" t="s">
        <v>129</v>
      </c>
      <c r="W283" t="s">
        <v>277</v>
      </c>
      <c r="Y283" t="s">
        <v>693</v>
      </c>
      <c r="Z283" t="s">
        <v>131</v>
      </c>
      <c r="AA283" s="90">
        <v>91739</v>
      </c>
      <c r="AB283" t="s">
        <v>132</v>
      </c>
      <c r="AC283" t="s">
        <v>385</v>
      </c>
      <c r="AD283" t="s">
        <v>140</v>
      </c>
    </row>
    <row r="284" spans="2:30" x14ac:dyDescent="0.25">
      <c r="B284">
        <v>2078</v>
      </c>
      <c r="C284" t="s">
        <v>694</v>
      </c>
      <c r="D284">
        <v>2016</v>
      </c>
      <c r="F284" s="89">
        <v>429770.33887358202</v>
      </c>
      <c r="G284" s="89" t="s">
        <v>128</v>
      </c>
      <c r="H284" s="89"/>
      <c r="I284" s="89">
        <v>0</v>
      </c>
      <c r="J284" s="89">
        <v>0</v>
      </c>
      <c r="K284" s="89">
        <v>0</v>
      </c>
      <c r="L284" s="89">
        <v>0</v>
      </c>
      <c r="M284" s="89">
        <v>429770.33887358202</v>
      </c>
      <c r="N284" s="89"/>
      <c r="O284" s="89">
        <v>0</v>
      </c>
      <c r="P284" s="89">
        <v>0</v>
      </c>
      <c r="Q284" s="89">
        <v>258352.81287351</v>
      </c>
      <c r="R284" s="89">
        <v>258352.81287351</v>
      </c>
      <c r="S284" s="89">
        <v>171417.52600007199</v>
      </c>
      <c r="T284"/>
      <c r="U284" t="s">
        <v>155</v>
      </c>
      <c r="V284" t="s">
        <v>129</v>
      </c>
      <c r="W284" t="s">
        <v>337</v>
      </c>
      <c r="Y284" t="s">
        <v>591</v>
      </c>
      <c r="Z284" t="s">
        <v>592</v>
      </c>
      <c r="AA284" s="90">
        <v>21231</v>
      </c>
      <c r="AB284" t="s">
        <v>158</v>
      </c>
      <c r="AC284" t="s">
        <v>136</v>
      </c>
      <c r="AD284" t="s">
        <v>137</v>
      </c>
    </row>
    <row r="285" spans="2:30" x14ac:dyDescent="0.25">
      <c r="B285">
        <v>104066</v>
      </c>
      <c r="C285" t="s">
        <v>695</v>
      </c>
      <c r="D285">
        <v>2016</v>
      </c>
      <c r="F285" s="89">
        <v>17.025510000000001</v>
      </c>
      <c r="G285" s="89" t="s">
        <v>128</v>
      </c>
      <c r="H285" s="89"/>
      <c r="I285" s="89">
        <v>17.025510000000001</v>
      </c>
      <c r="J285" s="89">
        <v>0</v>
      </c>
      <c r="K285" s="89">
        <v>0</v>
      </c>
      <c r="L285" s="89">
        <v>0</v>
      </c>
      <c r="M285" s="89">
        <v>0</v>
      </c>
      <c r="N285" s="89"/>
      <c r="O285" s="89">
        <v>17.025510000000001</v>
      </c>
      <c r="P285" s="89">
        <v>0</v>
      </c>
      <c r="Q285" s="89">
        <v>0</v>
      </c>
      <c r="R285" s="89">
        <v>17.025510000000001</v>
      </c>
      <c r="S285" s="89">
        <v>0</v>
      </c>
      <c r="T285"/>
      <c r="U285" t="s">
        <v>155</v>
      </c>
      <c r="V285" t="s">
        <v>129</v>
      </c>
      <c r="W285" t="s">
        <v>215</v>
      </c>
      <c r="Y285" t="s">
        <v>320</v>
      </c>
      <c r="Z285" t="s">
        <v>131</v>
      </c>
      <c r="AA285" s="90">
        <v>90023</v>
      </c>
      <c r="AB285" t="s">
        <v>696</v>
      </c>
      <c r="AC285" t="s">
        <v>0</v>
      </c>
      <c r="AD285" t="s">
        <v>143</v>
      </c>
    </row>
    <row r="286" spans="2:30" x14ac:dyDescent="0.25">
      <c r="B286">
        <v>104460</v>
      </c>
      <c r="C286" t="s">
        <v>697</v>
      </c>
      <c r="D286">
        <v>2016</v>
      </c>
      <c r="F286" s="89">
        <v>45631.032529581702</v>
      </c>
      <c r="G286" s="89" t="s">
        <v>128</v>
      </c>
      <c r="H286" s="89"/>
      <c r="I286" s="89">
        <v>45410.795288878202</v>
      </c>
      <c r="J286" s="89">
        <v>0</v>
      </c>
      <c r="K286" s="89">
        <v>220.23724070342999</v>
      </c>
      <c r="L286" s="89">
        <v>0</v>
      </c>
      <c r="M286" s="89">
        <v>0</v>
      </c>
      <c r="N286" s="89"/>
      <c r="O286" s="89">
        <v>45307.6235749396</v>
      </c>
      <c r="P286" s="89">
        <v>0</v>
      </c>
      <c r="Q286" s="89">
        <v>0</v>
      </c>
      <c r="R286" s="89">
        <v>45307.6235749396</v>
      </c>
      <c r="S286" s="89">
        <v>323.40895464202998</v>
      </c>
      <c r="T286"/>
      <c r="U286" t="s">
        <v>155</v>
      </c>
      <c r="V286" t="s">
        <v>155</v>
      </c>
      <c r="W286" t="s">
        <v>645</v>
      </c>
      <c r="Y286" t="s">
        <v>698</v>
      </c>
      <c r="Z286" t="s">
        <v>131</v>
      </c>
      <c r="AA286" s="90">
        <v>93117</v>
      </c>
      <c r="AB286" t="s">
        <v>170</v>
      </c>
      <c r="AC286" t="s">
        <v>171</v>
      </c>
      <c r="AD286" t="s">
        <v>172</v>
      </c>
    </row>
    <row r="287" spans="2:30" x14ac:dyDescent="0.25">
      <c r="B287">
        <v>104459</v>
      </c>
      <c r="C287" t="s">
        <v>699</v>
      </c>
      <c r="D287">
        <v>2016</v>
      </c>
      <c r="F287" s="89">
        <v>1128.14000053892</v>
      </c>
      <c r="G287" s="89" t="s">
        <v>128</v>
      </c>
      <c r="H287" s="89"/>
      <c r="I287" s="89">
        <v>1128.14000053892</v>
      </c>
      <c r="J287" s="89">
        <v>0</v>
      </c>
      <c r="K287" s="89">
        <v>0</v>
      </c>
      <c r="L287" s="89">
        <v>0</v>
      </c>
      <c r="M287" s="89">
        <v>0</v>
      </c>
      <c r="N287" s="89"/>
      <c r="O287" s="89">
        <v>1128.14000053892</v>
      </c>
      <c r="P287" s="89">
        <v>0</v>
      </c>
      <c r="Q287" s="89">
        <v>0</v>
      </c>
      <c r="R287" s="89">
        <v>1128.14000053892</v>
      </c>
      <c r="S287" s="89">
        <v>0</v>
      </c>
      <c r="T287"/>
      <c r="U287" t="s">
        <v>155</v>
      </c>
      <c r="V287" t="s">
        <v>129</v>
      </c>
      <c r="W287" t="s">
        <v>645</v>
      </c>
      <c r="Y287" t="s">
        <v>698</v>
      </c>
      <c r="Z287" t="s">
        <v>131</v>
      </c>
      <c r="AA287" s="90">
        <v>93117</v>
      </c>
      <c r="AB287" t="s">
        <v>170</v>
      </c>
      <c r="AC287" t="s">
        <v>175</v>
      </c>
      <c r="AD287" t="s">
        <v>176</v>
      </c>
    </row>
    <row r="288" spans="2:30" x14ac:dyDescent="0.25">
      <c r="B288">
        <v>104519</v>
      </c>
      <c r="C288" t="s">
        <v>700</v>
      </c>
      <c r="D288">
        <v>2016</v>
      </c>
      <c r="F288" s="89">
        <v>60046.426959677701</v>
      </c>
      <c r="G288" s="89" t="s">
        <v>128</v>
      </c>
      <c r="H288" s="89"/>
      <c r="I288" s="89">
        <v>0</v>
      </c>
      <c r="J288" s="89">
        <v>0</v>
      </c>
      <c r="K288" s="89">
        <v>60046.426959677701</v>
      </c>
      <c r="L288" s="89">
        <v>0</v>
      </c>
      <c r="M288" s="89">
        <v>0</v>
      </c>
      <c r="N288" s="89"/>
      <c r="O288" s="89">
        <v>0</v>
      </c>
      <c r="P288" s="89">
        <v>60046.426959677701</v>
      </c>
      <c r="Q288" s="89">
        <v>0</v>
      </c>
      <c r="R288" s="89">
        <v>60046.426959677701</v>
      </c>
      <c r="S288" s="89">
        <v>0</v>
      </c>
      <c r="T288"/>
      <c r="U288" t="s">
        <v>155</v>
      </c>
      <c r="V288" t="s">
        <v>129</v>
      </c>
      <c r="W288" t="s">
        <v>197</v>
      </c>
      <c r="Y288" t="s">
        <v>701</v>
      </c>
      <c r="Z288" t="s">
        <v>279</v>
      </c>
      <c r="AA288" s="90">
        <v>64068</v>
      </c>
      <c r="AB288" t="s">
        <v>258</v>
      </c>
      <c r="AC288" t="s">
        <v>259</v>
      </c>
      <c r="AD288" t="s">
        <v>260</v>
      </c>
    </row>
    <row r="289" spans="2:30" x14ac:dyDescent="0.25">
      <c r="B289">
        <v>104041</v>
      </c>
      <c r="C289" t="s">
        <v>702</v>
      </c>
      <c r="D289">
        <v>2016</v>
      </c>
      <c r="F289" s="89">
        <v>1797679.1670599999</v>
      </c>
      <c r="G289" s="89" t="s">
        <v>128</v>
      </c>
      <c r="H289" s="89"/>
      <c r="I289" s="89">
        <v>0</v>
      </c>
      <c r="J289" s="89">
        <v>0</v>
      </c>
      <c r="K289" s="89">
        <v>1661728.9137599999</v>
      </c>
      <c r="L289" s="89">
        <v>135950.25330000001</v>
      </c>
      <c r="M289" s="89">
        <v>0</v>
      </c>
      <c r="N289" s="89"/>
      <c r="O289" s="89">
        <v>0</v>
      </c>
      <c r="P289" s="89">
        <v>1661728.9137599999</v>
      </c>
      <c r="Q289" s="89">
        <v>0</v>
      </c>
      <c r="R289" s="89">
        <v>1661728.9137599999</v>
      </c>
      <c r="S289" s="89">
        <v>135950.25330000001</v>
      </c>
      <c r="T289"/>
      <c r="U289" t="s">
        <v>155</v>
      </c>
      <c r="V289" t="s">
        <v>129</v>
      </c>
      <c r="W289" t="s">
        <v>215</v>
      </c>
      <c r="Y289" t="s">
        <v>703</v>
      </c>
      <c r="Z289" t="s">
        <v>704</v>
      </c>
      <c r="AA289" s="90">
        <v>67220</v>
      </c>
      <c r="AB289" t="s">
        <v>146</v>
      </c>
      <c r="AC289" t="s">
        <v>147</v>
      </c>
      <c r="AD289" t="s">
        <v>148</v>
      </c>
    </row>
    <row r="290" spans="2:30" x14ac:dyDescent="0.25">
      <c r="B290">
        <v>104102</v>
      </c>
      <c r="C290" t="s">
        <v>705</v>
      </c>
      <c r="D290">
        <v>2016</v>
      </c>
      <c r="F290" s="89">
        <v>2006223.5242339999</v>
      </c>
      <c r="G290" s="89" t="s">
        <v>128</v>
      </c>
      <c r="H290" s="89"/>
      <c r="I290" s="89">
        <v>0</v>
      </c>
      <c r="J290" s="89">
        <v>0</v>
      </c>
      <c r="K290" s="89">
        <v>1917421.879834</v>
      </c>
      <c r="L290" s="89">
        <v>88801.644400000005</v>
      </c>
      <c r="M290" s="89">
        <v>0</v>
      </c>
      <c r="N290" s="89"/>
      <c r="O290" s="89">
        <v>0</v>
      </c>
      <c r="P290" s="89">
        <v>1917421.879834</v>
      </c>
      <c r="Q290" s="89">
        <v>0</v>
      </c>
      <c r="R290" s="89">
        <v>1917421.879834</v>
      </c>
      <c r="S290" s="89">
        <v>88801.644400000005</v>
      </c>
      <c r="T290"/>
      <c r="U290" t="s">
        <v>155</v>
      </c>
      <c r="V290" t="s">
        <v>129</v>
      </c>
      <c r="W290" t="s">
        <v>368</v>
      </c>
      <c r="Y290" t="s">
        <v>706</v>
      </c>
      <c r="Z290" t="s">
        <v>131</v>
      </c>
      <c r="AA290" s="90">
        <v>95602</v>
      </c>
      <c r="AB290" t="s">
        <v>146</v>
      </c>
      <c r="AC290" t="s">
        <v>147</v>
      </c>
      <c r="AD290" t="s">
        <v>148</v>
      </c>
    </row>
    <row r="291" spans="2:30" x14ac:dyDescent="0.25">
      <c r="B291">
        <v>104541</v>
      </c>
      <c r="C291" t="s">
        <v>707</v>
      </c>
      <c r="D291">
        <v>2016</v>
      </c>
      <c r="F291" s="89">
        <v>13634.575734079999</v>
      </c>
      <c r="G291" s="89" t="s">
        <v>128</v>
      </c>
      <c r="H291" s="89"/>
      <c r="I291" s="89">
        <v>13634.575734079999</v>
      </c>
      <c r="J291" s="89">
        <v>0</v>
      </c>
      <c r="K291" s="89">
        <v>0</v>
      </c>
      <c r="L291" s="89">
        <v>0</v>
      </c>
      <c r="M291" s="89">
        <v>0</v>
      </c>
      <c r="N291" s="89"/>
      <c r="O291" s="89">
        <v>0</v>
      </c>
      <c r="P291" s="89">
        <v>0</v>
      </c>
      <c r="Q291" s="89">
        <v>0</v>
      </c>
      <c r="R291" s="89">
        <v>0</v>
      </c>
      <c r="S291" s="89">
        <v>13634.575734079999</v>
      </c>
      <c r="T291"/>
      <c r="U291" t="s">
        <v>129</v>
      </c>
      <c r="V291" t="s">
        <v>129</v>
      </c>
      <c r="Y291" t="s">
        <v>357</v>
      </c>
      <c r="Z291" t="s">
        <v>131</v>
      </c>
      <c r="AA291" s="90">
        <v>95351</v>
      </c>
      <c r="AB291" t="s">
        <v>411</v>
      </c>
      <c r="AC291" t="s">
        <v>0</v>
      </c>
      <c r="AD291" t="s">
        <v>143</v>
      </c>
    </row>
    <row r="292" spans="2:30" x14ac:dyDescent="0.25">
      <c r="B292">
        <v>104548</v>
      </c>
      <c r="C292" t="s">
        <v>708</v>
      </c>
      <c r="D292">
        <v>2016</v>
      </c>
      <c r="F292" s="89">
        <v>9948.4260080000004</v>
      </c>
      <c r="G292" s="89" t="s">
        <v>128</v>
      </c>
      <c r="H292" s="89"/>
      <c r="I292" s="89">
        <v>9948.4260080000004</v>
      </c>
      <c r="J292" s="89">
        <v>0</v>
      </c>
      <c r="K292" s="89">
        <v>0</v>
      </c>
      <c r="L292" s="89">
        <v>0</v>
      </c>
      <c r="M292" s="89">
        <v>0</v>
      </c>
      <c r="N292" s="89"/>
      <c r="O292" s="89">
        <v>0</v>
      </c>
      <c r="P292" s="89">
        <v>0</v>
      </c>
      <c r="Q292" s="89">
        <v>0</v>
      </c>
      <c r="R292" s="89">
        <v>0</v>
      </c>
      <c r="S292" s="89">
        <v>9948.4260080000004</v>
      </c>
      <c r="T292"/>
      <c r="U292" t="s">
        <v>129</v>
      </c>
      <c r="V292" t="s">
        <v>129</v>
      </c>
      <c r="Y292" t="s">
        <v>709</v>
      </c>
      <c r="Z292" t="s">
        <v>131</v>
      </c>
      <c r="AA292" s="90">
        <v>93257</v>
      </c>
      <c r="AB292" t="s">
        <v>710</v>
      </c>
      <c r="AC292" t="s">
        <v>0</v>
      </c>
      <c r="AD292" t="s">
        <v>143</v>
      </c>
    </row>
    <row r="293" spans="2:30" x14ac:dyDescent="0.25">
      <c r="B293">
        <v>104549</v>
      </c>
      <c r="C293" t="s">
        <v>711</v>
      </c>
      <c r="D293">
        <v>2016</v>
      </c>
      <c r="F293" s="89">
        <v>9276.3115856000004</v>
      </c>
      <c r="G293" s="89" t="s">
        <v>128</v>
      </c>
      <c r="H293" s="89"/>
      <c r="I293" s="89">
        <v>9276.3115856000004</v>
      </c>
      <c r="J293" s="89">
        <v>0</v>
      </c>
      <c r="K293" s="89">
        <v>0</v>
      </c>
      <c r="L293" s="89">
        <v>0</v>
      </c>
      <c r="M293" s="89">
        <v>0</v>
      </c>
      <c r="N293" s="89"/>
      <c r="O293" s="89">
        <v>0</v>
      </c>
      <c r="P293" s="89">
        <v>0</v>
      </c>
      <c r="Q293" s="89">
        <v>0</v>
      </c>
      <c r="R293" s="89">
        <v>0</v>
      </c>
      <c r="S293" s="89">
        <v>9276.3115856000004</v>
      </c>
      <c r="T293"/>
      <c r="U293" t="s">
        <v>129</v>
      </c>
      <c r="V293" t="s">
        <v>129</v>
      </c>
      <c r="Y293" t="s">
        <v>712</v>
      </c>
      <c r="Z293" t="s">
        <v>131</v>
      </c>
      <c r="AA293" s="90">
        <v>93631</v>
      </c>
      <c r="AB293" t="s">
        <v>1530</v>
      </c>
      <c r="AC293" t="s">
        <v>0</v>
      </c>
      <c r="AD293" t="s">
        <v>143</v>
      </c>
    </row>
    <row r="294" spans="2:30" x14ac:dyDescent="0.25">
      <c r="B294">
        <v>101575</v>
      </c>
      <c r="C294" t="s">
        <v>713</v>
      </c>
      <c r="D294">
        <v>2016</v>
      </c>
      <c r="F294" s="89">
        <v>45752.437143414398</v>
      </c>
      <c r="G294" s="89" t="s">
        <v>128</v>
      </c>
      <c r="H294" s="89"/>
      <c r="I294" s="89">
        <v>45752.437143414398</v>
      </c>
      <c r="J294" s="89">
        <v>0</v>
      </c>
      <c r="K294" s="89">
        <v>0</v>
      </c>
      <c r="L294" s="89">
        <v>0</v>
      </c>
      <c r="M294" s="89">
        <v>0</v>
      </c>
      <c r="N294" s="89"/>
      <c r="O294" s="89">
        <v>45752.437143414398</v>
      </c>
      <c r="P294" s="89">
        <v>0</v>
      </c>
      <c r="Q294" s="89">
        <v>0</v>
      </c>
      <c r="R294" s="89">
        <v>45752.437143414398</v>
      </c>
      <c r="S294" s="89">
        <v>0</v>
      </c>
      <c r="T294"/>
      <c r="U294" t="s">
        <v>155</v>
      </c>
      <c r="V294" t="s">
        <v>155</v>
      </c>
      <c r="W294" t="s">
        <v>197</v>
      </c>
      <c r="Y294" t="s">
        <v>659</v>
      </c>
      <c r="Z294" t="s">
        <v>131</v>
      </c>
      <c r="AA294" s="90">
        <v>95334</v>
      </c>
      <c r="AB294" t="s">
        <v>710</v>
      </c>
      <c r="AC294" t="s">
        <v>0</v>
      </c>
      <c r="AD294" t="s">
        <v>143</v>
      </c>
    </row>
    <row r="295" spans="2:30" x14ac:dyDescent="0.25">
      <c r="B295">
        <v>101054</v>
      </c>
      <c r="C295" t="s">
        <v>714</v>
      </c>
      <c r="D295">
        <v>2016</v>
      </c>
      <c r="F295" s="89">
        <v>801.74524819652095</v>
      </c>
      <c r="G295" s="89" t="s">
        <v>128</v>
      </c>
      <c r="H295" s="89"/>
      <c r="I295" s="89">
        <v>801.74524819652095</v>
      </c>
      <c r="J295" s="89">
        <v>0</v>
      </c>
      <c r="K295" s="89">
        <v>0</v>
      </c>
      <c r="L295" s="89">
        <v>0</v>
      </c>
      <c r="M295" s="89">
        <v>0</v>
      </c>
      <c r="N295" s="89"/>
      <c r="O295" s="89">
        <v>0</v>
      </c>
      <c r="P295" s="89">
        <v>0</v>
      </c>
      <c r="Q295" s="89">
        <v>0</v>
      </c>
      <c r="R295" s="89">
        <v>0</v>
      </c>
      <c r="S295" s="89">
        <v>801.74524819652095</v>
      </c>
      <c r="T295"/>
      <c r="U295" t="s">
        <v>129</v>
      </c>
      <c r="V295" t="s">
        <v>129</v>
      </c>
      <c r="Y295" t="s">
        <v>698</v>
      </c>
      <c r="Z295" t="s">
        <v>131</v>
      </c>
      <c r="AA295" s="90">
        <v>93117</v>
      </c>
      <c r="AB295" t="s">
        <v>682</v>
      </c>
      <c r="AC295" t="s">
        <v>0</v>
      </c>
      <c r="AD295" t="s">
        <v>176</v>
      </c>
    </row>
    <row r="296" spans="2:30" x14ac:dyDescent="0.25">
      <c r="B296">
        <v>101544</v>
      </c>
      <c r="C296" t="s">
        <v>715</v>
      </c>
      <c r="D296">
        <v>2016</v>
      </c>
      <c r="F296" s="89">
        <v>5463.352132</v>
      </c>
      <c r="G296" s="89" t="s">
        <v>128</v>
      </c>
      <c r="H296" s="89"/>
      <c r="I296" s="89">
        <v>5463.352132</v>
      </c>
      <c r="J296" s="89">
        <v>0</v>
      </c>
      <c r="K296" s="89">
        <v>0</v>
      </c>
      <c r="L296" s="89">
        <v>0</v>
      </c>
      <c r="M296" s="89">
        <v>0</v>
      </c>
      <c r="N296" s="89"/>
      <c r="O296" s="89">
        <v>5463.352132</v>
      </c>
      <c r="P296" s="89">
        <v>0</v>
      </c>
      <c r="Q296" s="89">
        <v>0</v>
      </c>
      <c r="R296" s="89">
        <v>5463.352132</v>
      </c>
      <c r="S296" s="89">
        <v>0</v>
      </c>
      <c r="T296"/>
      <c r="U296" t="s">
        <v>155</v>
      </c>
      <c r="V296" t="s">
        <v>129</v>
      </c>
      <c r="W296" t="s">
        <v>277</v>
      </c>
      <c r="Y296" t="s">
        <v>716</v>
      </c>
      <c r="Z296" t="s">
        <v>131</v>
      </c>
      <c r="AA296" s="90">
        <v>93660</v>
      </c>
      <c r="AB296" t="s">
        <v>132</v>
      </c>
      <c r="AC296" t="s">
        <v>385</v>
      </c>
      <c r="AD296" t="s">
        <v>140</v>
      </c>
    </row>
    <row r="297" spans="2:30" x14ac:dyDescent="0.25">
      <c r="B297">
        <v>101613</v>
      </c>
      <c r="C297" t="s">
        <v>717</v>
      </c>
      <c r="D297">
        <v>2016</v>
      </c>
      <c r="F297" s="89">
        <v>7843.9395445289001</v>
      </c>
      <c r="G297" s="89" t="s">
        <v>128</v>
      </c>
      <c r="H297" s="89"/>
      <c r="I297" s="89">
        <v>1394.4395445288999</v>
      </c>
      <c r="J297" s="89">
        <v>6449.5</v>
      </c>
      <c r="K297" s="89">
        <v>0</v>
      </c>
      <c r="L297" s="89">
        <v>0</v>
      </c>
      <c r="M297" s="89">
        <v>0</v>
      </c>
      <c r="N297" s="89"/>
      <c r="O297" s="89">
        <v>0</v>
      </c>
      <c r="P297" s="89">
        <v>0</v>
      </c>
      <c r="Q297" s="89">
        <v>0</v>
      </c>
      <c r="R297" s="89">
        <v>0</v>
      </c>
      <c r="S297" s="89">
        <v>7843.9395445289001</v>
      </c>
      <c r="T297"/>
      <c r="U297" t="s">
        <v>155</v>
      </c>
      <c r="V297" t="s">
        <v>129</v>
      </c>
      <c r="W297" t="s">
        <v>368</v>
      </c>
      <c r="Y297" t="s">
        <v>395</v>
      </c>
      <c r="Z297" t="s">
        <v>131</v>
      </c>
      <c r="AA297" s="90">
        <v>93706</v>
      </c>
      <c r="AB297" t="s">
        <v>504</v>
      </c>
      <c r="AC297" t="s">
        <v>0</v>
      </c>
      <c r="AD297" t="s">
        <v>143</v>
      </c>
    </row>
    <row r="298" spans="2:30" x14ac:dyDescent="0.25">
      <c r="B298">
        <v>101235</v>
      </c>
      <c r="C298" t="s">
        <v>718</v>
      </c>
      <c r="D298">
        <v>2016</v>
      </c>
      <c r="F298" s="89">
        <v>54528.4492081145</v>
      </c>
      <c r="G298" s="89" t="s">
        <v>128</v>
      </c>
      <c r="H298" s="89"/>
      <c r="I298" s="89">
        <v>54528.4492081145</v>
      </c>
      <c r="J298" s="89">
        <v>0</v>
      </c>
      <c r="K298" s="89">
        <v>0</v>
      </c>
      <c r="L298" s="89">
        <v>0</v>
      </c>
      <c r="M298" s="89">
        <v>0</v>
      </c>
      <c r="N298" s="89"/>
      <c r="O298" s="89">
        <v>54528.4492081145</v>
      </c>
      <c r="P298" s="89">
        <v>0</v>
      </c>
      <c r="Q298" s="89">
        <v>0</v>
      </c>
      <c r="R298" s="89">
        <v>54528.4492081145</v>
      </c>
      <c r="S298" s="89">
        <v>0</v>
      </c>
      <c r="T298"/>
      <c r="U298" t="s">
        <v>155</v>
      </c>
      <c r="V298" t="s">
        <v>155</v>
      </c>
      <c r="W298" t="s">
        <v>277</v>
      </c>
      <c r="Y298" t="s">
        <v>178</v>
      </c>
      <c r="Z298" t="s">
        <v>131</v>
      </c>
      <c r="AA298" s="90">
        <v>93314</v>
      </c>
      <c r="AB298" t="s">
        <v>719</v>
      </c>
      <c r="AC298" t="s">
        <v>0</v>
      </c>
      <c r="AD298" t="s">
        <v>143</v>
      </c>
    </row>
    <row r="299" spans="2:30" x14ac:dyDescent="0.25">
      <c r="B299">
        <v>104207</v>
      </c>
      <c r="C299" t="s">
        <v>720</v>
      </c>
      <c r="D299">
        <v>2016</v>
      </c>
      <c r="F299" s="89">
        <v>24493.289833566101</v>
      </c>
      <c r="G299" s="89" t="s">
        <v>128</v>
      </c>
      <c r="H299" s="89"/>
      <c r="I299" s="89">
        <v>24493.289833566101</v>
      </c>
      <c r="J299" s="89">
        <v>0</v>
      </c>
      <c r="K299" s="89">
        <v>0</v>
      </c>
      <c r="L299" s="89">
        <v>0</v>
      </c>
      <c r="M299" s="89">
        <v>0</v>
      </c>
      <c r="N299" s="89"/>
      <c r="O299" s="89">
        <v>0</v>
      </c>
      <c r="P299" s="89">
        <v>0</v>
      </c>
      <c r="Q299" s="89">
        <v>0</v>
      </c>
      <c r="R299" s="89">
        <v>0</v>
      </c>
      <c r="S299" s="89">
        <v>24493.289833566101</v>
      </c>
      <c r="T299"/>
      <c r="U299" t="s">
        <v>129</v>
      </c>
      <c r="V299" t="s">
        <v>129</v>
      </c>
      <c r="Y299" t="s">
        <v>357</v>
      </c>
      <c r="Z299" t="s">
        <v>131</v>
      </c>
      <c r="AA299" s="90">
        <v>95357</v>
      </c>
      <c r="AB299" t="s">
        <v>719</v>
      </c>
      <c r="AC299" t="s">
        <v>0</v>
      </c>
      <c r="AD299" t="s">
        <v>143</v>
      </c>
    </row>
    <row r="300" spans="2:30" x14ac:dyDescent="0.25">
      <c r="B300">
        <v>101683</v>
      </c>
      <c r="C300" t="s">
        <v>721</v>
      </c>
      <c r="D300">
        <v>2016</v>
      </c>
      <c r="F300" s="89">
        <v>23381.481535157502</v>
      </c>
      <c r="G300" s="89" t="s">
        <v>128</v>
      </c>
      <c r="H300" s="89"/>
      <c r="I300" s="89">
        <v>117.2815351575</v>
      </c>
      <c r="J300" s="89">
        <v>23264.2</v>
      </c>
      <c r="K300" s="89">
        <v>0</v>
      </c>
      <c r="L300" s="89">
        <v>0</v>
      </c>
      <c r="M300" s="89">
        <v>0</v>
      </c>
      <c r="N300" s="89"/>
      <c r="O300" s="89">
        <v>0</v>
      </c>
      <c r="P300" s="89">
        <v>0</v>
      </c>
      <c r="Q300" s="89">
        <v>0</v>
      </c>
      <c r="R300" s="89">
        <v>0</v>
      </c>
      <c r="S300" s="89">
        <v>23381.481535157502</v>
      </c>
      <c r="T300"/>
      <c r="U300" t="s">
        <v>129</v>
      </c>
      <c r="V300" t="s">
        <v>129</v>
      </c>
      <c r="Y300" t="s">
        <v>722</v>
      </c>
      <c r="Z300" t="s">
        <v>131</v>
      </c>
      <c r="AA300" s="90">
        <v>95692</v>
      </c>
      <c r="AB300" t="s">
        <v>723</v>
      </c>
      <c r="AC300" t="s">
        <v>0</v>
      </c>
      <c r="AD300" t="s">
        <v>140</v>
      </c>
    </row>
    <row r="301" spans="2:30" x14ac:dyDescent="0.25">
      <c r="B301">
        <v>103018</v>
      </c>
      <c r="C301" t="s">
        <v>724</v>
      </c>
      <c r="D301">
        <v>2016</v>
      </c>
      <c r="F301" s="89">
        <v>151949.18634690001</v>
      </c>
      <c r="G301" s="89" t="s">
        <v>128</v>
      </c>
      <c r="H301" s="89"/>
      <c r="I301" s="89">
        <v>151949.18634690001</v>
      </c>
      <c r="J301" s="89">
        <v>0</v>
      </c>
      <c r="K301" s="89">
        <v>0</v>
      </c>
      <c r="L301" s="89">
        <v>0</v>
      </c>
      <c r="M301" s="89">
        <v>0</v>
      </c>
      <c r="N301" s="89"/>
      <c r="O301" s="89">
        <v>151947.50169120001</v>
      </c>
      <c r="P301" s="89">
        <v>0</v>
      </c>
      <c r="Q301" s="89">
        <v>0</v>
      </c>
      <c r="R301" s="89">
        <v>151947.50169120001</v>
      </c>
      <c r="S301" s="89">
        <v>1.6846557</v>
      </c>
      <c r="T301"/>
      <c r="U301" t="s">
        <v>155</v>
      </c>
      <c r="V301" t="s">
        <v>155</v>
      </c>
      <c r="W301" t="s">
        <v>277</v>
      </c>
      <c r="Y301" t="s">
        <v>357</v>
      </c>
      <c r="Z301" t="s">
        <v>131</v>
      </c>
      <c r="AA301" s="90">
        <v>95354</v>
      </c>
      <c r="AB301" t="s">
        <v>150</v>
      </c>
      <c r="AC301" t="s">
        <v>151</v>
      </c>
      <c r="AD301" t="s">
        <v>143</v>
      </c>
    </row>
    <row r="302" spans="2:30" x14ac:dyDescent="0.25">
      <c r="B302">
        <v>104559</v>
      </c>
      <c r="C302" t="s">
        <v>725</v>
      </c>
      <c r="D302">
        <v>2016</v>
      </c>
      <c r="F302" s="89">
        <v>11614.6320624</v>
      </c>
      <c r="G302" s="89" t="s">
        <v>128</v>
      </c>
      <c r="H302" s="89"/>
      <c r="I302" s="89">
        <v>11614.6320624</v>
      </c>
      <c r="J302" s="89">
        <v>0</v>
      </c>
      <c r="K302" s="89">
        <v>0</v>
      </c>
      <c r="L302" s="89">
        <v>0</v>
      </c>
      <c r="M302" s="89">
        <v>0</v>
      </c>
      <c r="N302" s="89"/>
      <c r="O302" s="89">
        <v>0</v>
      </c>
      <c r="P302" s="89">
        <v>0</v>
      </c>
      <c r="Q302" s="89">
        <v>0</v>
      </c>
      <c r="R302" s="89">
        <v>0</v>
      </c>
      <c r="S302" s="89">
        <v>11614.6320624</v>
      </c>
      <c r="T302"/>
      <c r="U302" t="s">
        <v>129</v>
      </c>
      <c r="V302" t="s">
        <v>129</v>
      </c>
      <c r="Y302" t="s">
        <v>407</v>
      </c>
      <c r="Z302" t="s">
        <v>131</v>
      </c>
      <c r="AA302" s="90">
        <v>95688</v>
      </c>
      <c r="AB302" t="s">
        <v>224</v>
      </c>
      <c r="AC302" t="s">
        <v>0</v>
      </c>
      <c r="AD302" t="s">
        <v>143</v>
      </c>
    </row>
    <row r="303" spans="2:30" x14ac:dyDescent="0.25">
      <c r="B303">
        <v>101451</v>
      </c>
      <c r="C303" t="s">
        <v>726</v>
      </c>
      <c r="D303">
        <v>2016</v>
      </c>
      <c r="F303" s="89">
        <v>31437.140820799999</v>
      </c>
      <c r="G303" s="89" t="s">
        <v>128</v>
      </c>
      <c r="H303" s="89"/>
      <c r="I303" s="89">
        <v>31437.140820799999</v>
      </c>
      <c r="J303" s="89">
        <v>0</v>
      </c>
      <c r="K303" s="89">
        <v>0</v>
      </c>
      <c r="L303" s="89">
        <v>0</v>
      </c>
      <c r="M303" s="89">
        <v>0</v>
      </c>
      <c r="N303" s="89"/>
      <c r="O303" s="89">
        <v>31437.140820799999</v>
      </c>
      <c r="P303" s="89">
        <v>0</v>
      </c>
      <c r="Q303" s="89">
        <v>0</v>
      </c>
      <c r="R303" s="89">
        <v>31437.140820799999</v>
      </c>
      <c r="S303" s="89">
        <v>0</v>
      </c>
      <c r="T303"/>
      <c r="U303" t="s">
        <v>155</v>
      </c>
      <c r="V303" t="s">
        <v>129</v>
      </c>
      <c r="W303" t="s">
        <v>364</v>
      </c>
      <c r="Y303" t="s">
        <v>152</v>
      </c>
      <c r="Z303" t="s">
        <v>131</v>
      </c>
      <c r="AA303" s="90">
        <v>94080</v>
      </c>
      <c r="AB303" t="s">
        <v>263</v>
      </c>
      <c r="AC303" t="s">
        <v>0</v>
      </c>
      <c r="AD303" t="s">
        <v>143</v>
      </c>
    </row>
    <row r="304" spans="2:30" x14ac:dyDescent="0.25">
      <c r="B304">
        <v>100176</v>
      </c>
      <c r="C304" t="s">
        <v>1500</v>
      </c>
      <c r="D304">
        <v>2016</v>
      </c>
      <c r="F304" s="89">
        <v>0</v>
      </c>
      <c r="G304" s="89" t="s">
        <v>128</v>
      </c>
      <c r="H304" s="89"/>
      <c r="I304" s="89">
        <v>0</v>
      </c>
      <c r="J304" s="89">
        <v>0</v>
      </c>
      <c r="K304" s="89">
        <v>0</v>
      </c>
      <c r="L304" s="89">
        <v>0</v>
      </c>
      <c r="M304" s="89">
        <v>0</v>
      </c>
      <c r="N304" s="89"/>
      <c r="O304" s="89">
        <v>0</v>
      </c>
      <c r="P304" s="89">
        <v>0</v>
      </c>
      <c r="Q304" s="89">
        <v>0</v>
      </c>
      <c r="R304" s="89">
        <v>0</v>
      </c>
      <c r="S304" s="89">
        <v>0</v>
      </c>
      <c r="T304"/>
      <c r="U304" t="s">
        <v>129</v>
      </c>
      <c r="V304" t="s">
        <v>129</v>
      </c>
      <c r="Y304" t="s">
        <v>141</v>
      </c>
      <c r="Z304" t="s">
        <v>131</v>
      </c>
      <c r="AA304" s="90">
        <v>95242</v>
      </c>
      <c r="AB304" t="s">
        <v>142</v>
      </c>
      <c r="AC304" t="s">
        <v>0</v>
      </c>
      <c r="AD304" t="s">
        <v>143</v>
      </c>
    </row>
    <row r="305" spans="2:30" x14ac:dyDescent="0.25">
      <c r="B305">
        <v>100248</v>
      </c>
      <c r="C305" t="s">
        <v>727</v>
      </c>
      <c r="D305">
        <v>2016</v>
      </c>
      <c r="F305" s="89">
        <v>85098.709074169994</v>
      </c>
      <c r="G305" s="89" t="s">
        <v>128</v>
      </c>
      <c r="H305" s="89"/>
      <c r="I305" s="89">
        <v>85098.709074169994</v>
      </c>
      <c r="J305" s="89">
        <v>0</v>
      </c>
      <c r="K305" s="89">
        <v>0</v>
      </c>
      <c r="L305" s="89">
        <v>0</v>
      </c>
      <c r="M305" s="89">
        <v>0</v>
      </c>
      <c r="N305" s="89"/>
      <c r="O305" s="89">
        <v>85098.709074169994</v>
      </c>
      <c r="P305" s="89">
        <v>0</v>
      </c>
      <c r="Q305" s="89">
        <v>0</v>
      </c>
      <c r="R305" s="89">
        <v>85098.709074169994</v>
      </c>
      <c r="S305" s="89">
        <v>0</v>
      </c>
      <c r="T305"/>
      <c r="U305" t="s">
        <v>155</v>
      </c>
      <c r="V305" t="s">
        <v>129</v>
      </c>
      <c r="W305" t="s">
        <v>222</v>
      </c>
      <c r="Y305" t="s">
        <v>247</v>
      </c>
      <c r="Z305" t="s">
        <v>131</v>
      </c>
      <c r="AA305" s="90">
        <v>94565</v>
      </c>
      <c r="AB305" t="s">
        <v>132</v>
      </c>
      <c r="AC305" t="s">
        <v>385</v>
      </c>
      <c r="AD305" t="s">
        <v>140</v>
      </c>
    </row>
    <row r="306" spans="2:30" x14ac:dyDescent="0.25">
      <c r="B306">
        <v>104474</v>
      </c>
      <c r="C306" t="s">
        <v>728</v>
      </c>
      <c r="D306">
        <v>2016</v>
      </c>
      <c r="F306" s="89">
        <v>15273.8547357998</v>
      </c>
      <c r="G306" s="89" t="s">
        <v>128</v>
      </c>
      <c r="H306" s="89"/>
      <c r="I306" s="89">
        <v>76.654735799817502</v>
      </c>
      <c r="J306" s="89">
        <v>15197.2</v>
      </c>
      <c r="K306" s="89">
        <v>0</v>
      </c>
      <c r="L306" s="89">
        <v>0</v>
      </c>
      <c r="M306" s="89">
        <v>0</v>
      </c>
      <c r="N306" s="89"/>
      <c r="O306" s="89">
        <v>0</v>
      </c>
      <c r="P306" s="89">
        <v>0</v>
      </c>
      <c r="Q306" s="89">
        <v>0</v>
      </c>
      <c r="R306" s="89">
        <v>0</v>
      </c>
      <c r="S306" s="89">
        <v>15273.8547357998</v>
      </c>
      <c r="T306"/>
      <c r="U306" t="s">
        <v>129</v>
      </c>
      <c r="V306" t="s">
        <v>129</v>
      </c>
      <c r="Y306" t="s">
        <v>729</v>
      </c>
      <c r="Z306" t="s">
        <v>131</v>
      </c>
      <c r="AA306" s="90">
        <v>95648</v>
      </c>
      <c r="AB306" t="s">
        <v>139</v>
      </c>
      <c r="AC306" t="s">
        <v>0</v>
      </c>
      <c r="AD306" t="s">
        <v>140</v>
      </c>
    </row>
    <row r="307" spans="2:30" x14ac:dyDescent="0.25">
      <c r="B307">
        <v>101700</v>
      </c>
      <c r="C307" t="s">
        <v>730</v>
      </c>
      <c r="D307">
        <v>2016</v>
      </c>
      <c r="F307" s="89">
        <v>38903.049727999998</v>
      </c>
      <c r="G307" s="89" t="s">
        <v>128</v>
      </c>
      <c r="H307" s="89"/>
      <c r="I307" s="89">
        <v>38903.049727999998</v>
      </c>
      <c r="J307" s="89">
        <v>0</v>
      </c>
      <c r="K307" s="89">
        <v>0</v>
      </c>
      <c r="L307" s="89">
        <v>0</v>
      </c>
      <c r="M307" s="89">
        <v>0</v>
      </c>
      <c r="N307" s="89"/>
      <c r="O307" s="89">
        <v>38903.049727999998</v>
      </c>
      <c r="P307" s="89">
        <v>0</v>
      </c>
      <c r="Q307" s="89">
        <v>0</v>
      </c>
      <c r="R307" s="89">
        <v>38903.049727999998</v>
      </c>
      <c r="S307" s="89">
        <v>0</v>
      </c>
      <c r="T307"/>
      <c r="U307" t="s">
        <v>155</v>
      </c>
      <c r="V307" t="s">
        <v>155</v>
      </c>
      <c r="W307" t="s">
        <v>215</v>
      </c>
      <c r="Y307" t="s">
        <v>460</v>
      </c>
      <c r="Z307" t="s">
        <v>131</v>
      </c>
      <c r="AA307" s="90">
        <v>94509</v>
      </c>
      <c r="AB307" t="s">
        <v>731</v>
      </c>
      <c r="AC307" t="s">
        <v>0</v>
      </c>
      <c r="AD307" t="s">
        <v>143</v>
      </c>
    </row>
    <row r="308" spans="2:30" x14ac:dyDescent="0.25">
      <c r="B308">
        <v>104208</v>
      </c>
      <c r="C308" t="s">
        <v>732</v>
      </c>
      <c r="D308">
        <v>2016</v>
      </c>
      <c r="F308" s="89">
        <v>6391.6573263999999</v>
      </c>
      <c r="G308" s="89" t="s">
        <v>128</v>
      </c>
      <c r="H308" s="89"/>
      <c r="I308" s="89">
        <v>6391.6573263999999</v>
      </c>
      <c r="J308" s="89">
        <v>0</v>
      </c>
      <c r="K308" s="89">
        <v>0</v>
      </c>
      <c r="L308" s="89">
        <v>0</v>
      </c>
      <c r="M308" s="89">
        <v>0</v>
      </c>
      <c r="N308" s="89"/>
      <c r="O308" s="89">
        <v>0</v>
      </c>
      <c r="P308" s="89">
        <v>0</v>
      </c>
      <c r="Q308" s="89">
        <v>0</v>
      </c>
      <c r="R308" s="89">
        <v>0</v>
      </c>
      <c r="S308" s="89">
        <v>6391.6573263999999</v>
      </c>
      <c r="T308"/>
      <c r="U308" t="s">
        <v>129</v>
      </c>
      <c r="V308" t="s">
        <v>129</v>
      </c>
      <c r="Y308" t="s">
        <v>733</v>
      </c>
      <c r="Z308" t="s">
        <v>131</v>
      </c>
      <c r="AA308" s="90">
        <v>94577</v>
      </c>
      <c r="AB308" t="s">
        <v>414</v>
      </c>
      <c r="AC308" t="s">
        <v>0</v>
      </c>
      <c r="AD308" t="s">
        <v>143</v>
      </c>
    </row>
    <row r="309" spans="2:30" x14ac:dyDescent="0.25">
      <c r="B309">
        <v>104507</v>
      </c>
      <c r="C309" t="s">
        <v>734</v>
      </c>
      <c r="D309">
        <v>2016</v>
      </c>
      <c r="F309" s="89">
        <v>0</v>
      </c>
      <c r="G309" s="89" t="s">
        <v>128</v>
      </c>
      <c r="H309" s="89"/>
      <c r="I309" s="89">
        <v>0</v>
      </c>
      <c r="J309" s="89">
        <v>0</v>
      </c>
      <c r="K309" s="89">
        <v>0</v>
      </c>
      <c r="L309" s="89">
        <v>0</v>
      </c>
      <c r="M309" s="89">
        <v>0</v>
      </c>
      <c r="N309" s="89"/>
      <c r="O309" s="89">
        <v>0</v>
      </c>
      <c r="P309" s="89">
        <v>0</v>
      </c>
      <c r="Q309" s="89">
        <v>0</v>
      </c>
      <c r="R309" s="89">
        <v>0</v>
      </c>
      <c r="S309" s="89">
        <v>0</v>
      </c>
      <c r="T309"/>
      <c r="U309" t="s">
        <v>129</v>
      </c>
      <c r="V309" t="s">
        <v>129</v>
      </c>
      <c r="Y309" t="s">
        <v>359</v>
      </c>
      <c r="Z309" t="s">
        <v>360</v>
      </c>
      <c r="AA309" s="90">
        <v>77070</v>
      </c>
      <c r="AB309" t="s">
        <v>158</v>
      </c>
      <c r="AC309" t="s">
        <v>136</v>
      </c>
      <c r="AD309" t="s">
        <v>137</v>
      </c>
    </row>
    <row r="310" spans="2:30" x14ac:dyDescent="0.25">
      <c r="B310">
        <v>104484</v>
      </c>
      <c r="C310" t="s">
        <v>735</v>
      </c>
      <c r="D310">
        <v>2016</v>
      </c>
      <c r="F310" s="89">
        <v>0</v>
      </c>
      <c r="G310" s="89" t="s">
        <v>128</v>
      </c>
      <c r="H310" s="89"/>
      <c r="I310" s="89">
        <v>0</v>
      </c>
      <c r="J310" s="89">
        <v>0</v>
      </c>
      <c r="K310" s="89">
        <v>0</v>
      </c>
      <c r="L310" s="89">
        <v>0</v>
      </c>
      <c r="M310" s="89">
        <v>0</v>
      </c>
      <c r="N310" s="89"/>
      <c r="O310" s="89">
        <v>0</v>
      </c>
      <c r="P310" s="89">
        <v>0</v>
      </c>
      <c r="Q310" s="89">
        <v>0</v>
      </c>
      <c r="R310" s="89">
        <v>0</v>
      </c>
      <c r="S310" s="89">
        <v>0</v>
      </c>
      <c r="T310"/>
      <c r="U310" t="s">
        <v>155</v>
      </c>
      <c r="V310" t="s">
        <v>129</v>
      </c>
      <c r="W310" t="s">
        <v>277</v>
      </c>
      <c r="Y310" t="s">
        <v>573</v>
      </c>
      <c r="Z310" t="s">
        <v>131</v>
      </c>
      <c r="AA310" s="90">
        <v>94111</v>
      </c>
      <c r="AB310" t="s">
        <v>146</v>
      </c>
      <c r="AC310" t="s">
        <v>147</v>
      </c>
      <c r="AD310" t="s">
        <v>148</v>
      </c>
    </row>
    <row r="311" spans="2:30" x14ac:dyDescent="0.25">
      <c r="B311">
        <v>3034</v>
      </c>
      <c r="C311" t="s">
        <v>736</v>
      </c>
      <c r="D311">
        <v>2016</v>
      </c>
      <c r="F311" s="89">
        <v>272372.190283367</v>
      </c>
      <c r="G311" s="89" t="s">
        <v>128</v>
      </c>
      <c r="H311" s="89"/>
      <c r="I311" s="89">
        <v>0</v>
      </c>
      <c r="J311" s="89">
        <v>0</v>
      </c>
      <c r="K311" s="89">
        <v>0</v>
      </c>
      <c r="L311" s="89">
        <v>0</v>
      </c>
      <c r="M311" s="89">
        <v>272372.190283367</v>
      </c>
      <c r="N311" s="89"/>
      <c r="O311" s="89">
        <v>0</v>
      </c>
      <c r="P311" s="89">
        <v>0</v>
      </c>
      <c r="Q311" s="89">
        <v>184185.59508604999</v>
      </c>
      <c r="R311" s="89">
        <v>184185.59508604999</v>
      </c>
      <c r="S311" s="89">
        <v>88186.595197317001</v>
      </c>
      <c r="T311"/>
      <c r="U311" t="s">
        <v>155</v>
      </c>
      <c r="V311" t="s">
        <v>129</v>
      </c>
      <c r="W311" t="s">
        <v>297</v>
      </c>
      <c r="Y311" t="s">
        <v>737</v>
      </c>
      <c r="Z311" t="s">
        <v>131</v>
      </c>
      <c r="AA311" s="90">
        <v>91206</v>
      </c>
      <c r="AB311" t="s">
        <v>158</v>
      </c>
      <c r="AC311" t="s">
        <v>136</v>
      </c>
      <c r="AD311" t="s">
        <v>137</v>
      </c>
    </row>
    <row r="312" spans="2:30" x14ac:dyDescent="0.25">
      <c r="B312">
        <v>100180</v>
      </c>
      <c r="C312" t="s">
        <v>738</v>
      </c>
      <c r="D312">
        <v>2016</v>
      </c>
      <c r="F312" s="89">
        <v>17129.3382752</v>
      </c>
      <c r="G312" s="89" t="s">
        <v>128</v>
      </c>
      <c r="H312" s="89"/>
      <c r="I312" s="89">
        <v>17129.3382752</v>
      </c>
      <c r="J312" s="89">
        <v>0</v>
      </c>
      <c r="K312" s="89">
        <v>0</v>
      </c>
      <c r="L312" s="89">
        <v>0</v>
      </c>
      <c r="M312" s="89">
        <v>0</v>
      </c>
      <c r="N312" s="89"/>
      <c r="O312" s="89">
        <v>17129.3382752</v>
      </c>
      <c r="P312" s="89">
        <v>0</v>
      </c>
      <c r="Q312" s="89">
        <v>0</v>
      </c>
      <c r="R312" s="89">
        <v>17129.3382752</v>
      </c>
      <c r="S312" s="89">
        <v>0</v>
      </c>
      <c r="T312"/>
      <c r="U312" t="s">
        <v>155</v>
      </c>
      <c r="V312" t="s">
        <v>129</v>
      </c>
      <c r="W312" t="s">
        <v>222</v>
      </c>
      <c r="Y312" t="s">
        <v>444</v>
      </c>
      <c r="Z312" t="s">
        <v>131</v>
      </c>
      <c r="AA312" s="90">
        <v>92025</v>
      </c>
      <c r="AB312" t="s">
        <v>132</v>
      </c>
      <c r="AC312" t="s">
        <v>0</v>
      </c>
      <c r="AD312" t="s">
        <v>133</v>
      </c>
    </row>
    <row r="313" spans="2:30" x14ac:dyDescent="0.25">
      <c r="B313">
        <v>104730</v>
      </c>
      <c r="C313" t="s">
        <v>1509</v>
      </c>
      <c r="D313">
        <v>2016</v>
      </c>
      <c r="F313" s="89">
        <v>11798.5950503699</v>
      </c>
      <c r="G313" s="89" t="s">
        <v>128</v>
      </c>
      <c r="H313" s="89"/>
      <c r="I313" s="89">
        <v>11798.5950503699</v>
      </c>
      <c r="J313" s="89">
        <v>0</v>
      </c>
      <c r="K313" s="89">
        <v>0</v>
      </c>
      <c r="L313" s="89">
        <v>0</v>
      </c>
      <c r="M313" s="89">
        <v>0</v>
      </c>
      <c r="N313" s="89"/>
      <c r="O313" s="89">
        <v>0</v>
      </c>
      <c r="P313" s="89">
        <v>0</v>
      </c>
      <c r="Q313" s="89">
        <v>0</v>
      </c>
      <c r="R313" s="89">
        <v>0</v>
      </c>
      <c r="S313" s="89">
        <v>11798.5950503699</v>
      </c>
      <c r="T313"/>
      <c r="U313" t="s">
        <v>129</v>
      </c>
      <c r="V313" t="s">
        <v>129</v>
      </c>
      <c r="Y313" t="s">
        <v>1510</v>
      </c>
      <c r="Z313" t="s">
        <v>131</v>
      </c>
      <c r="AA313" s="90">
        <v>90670</v>
      </c>
      <c r="AB313" t="s">
        <v>1202</v>
      </c>
      <c r="AC313" t="s">
        <v>0</v>
      </c>
      <c r="AD313" t="s">
        <v>143</v>
      </c>
    </row>
    <row r="314" spans="2:30" x14ac:dyDescent="0.25">
      <c r="B314">
        <v>100147</v>
      </c>
      <c r="C314" t="s">
        <v>739</v>
      </c>
      <c r="D314">
        <v>2016</v>
      </c>
      <c r="F314" s="89">
        <v>123277.485893408</v>
      </c>
      <c r="G314" s="89" t="s">
        <v>128</v>
      </c>
      <c r="H314" s="89"/>
      <c r="I314" s="89">
        <v>123277.485893408</v>
      </c>
      <c r="J314" s="89">
        <v>0</v>
      </c>
      <c r="K314" s="89">
        <v>0</v>
      </c>
      <c r="L314" s="89">
        <v>0</v>
      </c>
      <c r="M314" s="89">
        <v>0</v>
      </c>
      <c r="N314" s="89"/>
      <c r="O314" s="89">
        <v>123277.485893408</v>
      </c>
      <c r="P314" s="89">
        <v>0</v>
      </c>
      <c r="Q314" s="89">
        <v>0</v>
      </c>
      <c r="R314" s="89">
        <v>123277.485893408</v>
      </c>
      <c r="S314" s="89">
        <v>0</v>
      </c>
      <c r="T314"/>
      <c r="U314" t="s">
        <v>155</v>
      </c>
      <c r="V314" t="s">
        <v>155</v>
      </c>
      <c r="W314" t="s">
        <v>364</v>
      </c>
      <c r="Y314" t="s">
        <v>413</v>
      </c>
      <c r="Z314" t="s">
        <v>131</v>
      </c>
      <c r="AA314" s="90">
        <v>95050</v>
      </c>
      <c r="AB314" t="s">
        <v>414</v>
      </c>
      <c r="AC314" t="s">
        <v>0</v>
      </c>
      <c r="AD314" t="s">
        <v>143</v>
      </c>
    </row>
    <row r="315" spans="2:30" x14ac:dyDescent="0.25">
      <c r="B315">
        <v>100181</v>
      </c>
      <c r="C315" t="s">
        <v>740</v>
      </c>
      <c r="D315">
        <v>2016</v>
      </c>
      <c r="F315" s="89">
        <v>141428.356636852</v>
      </c>
      <c r="G315" s="89" t="s">
        <v>128</v>
      </c>
      <c r="H315" s="89"/>
      <c r="I315" s="89">
        <v>65522.056636852802</v>
      </c>
      <c r="J315" s="89">
        <v>75906.3</v>
      </c>
      <c r="K315" s="89">
        <v>0</v>
      </c>
      <c r="L315" s="89">
        <v>0</v>
      </c>
      <c r="M315" s="89">
        <v>0</v>
      </c>
      <c r="N315" s="89"/>
      <c r="O315" s="89">
        <v>65522.056636852802</v>
      </c>
      <c r="P315" s="89">
        <v>0</v>
      </c>
      <c r="Q315" s="89">
        <v>0</v>
      </c>
      <c r="R315" s="89">
        <v>65522.056636852802</v>
      </c>
      <c r="S315" s="89">
        <v>75906.3</v>
      </c>
      <c r="T315"/>
      <c r="U315" t="s">
        <v>155</v>
      </c>
      <c r="V315" t="s">
        <v>129</v>
      </c>
      <c r="W315" t="s">
        <v>297</v>
      </c>
      <c r="Y315" t="s">
        <v>737</v>
      </c>
      <c r="Z315" t="s">
        <v>131</v>
      </c>
      <c r="AA315" s="90">
        <v>91201</v>
      </c>
      <c r="AB315" t="s">
        <v>132</v>
      </c>
      <c r="AC315" t="s">
        <v>385</v>
      </c>
      <c r="AD315" t="s">
        <v>140</v>
      </c>
    </row>
    <row r="316" spans="2:30" x14ac:dyDescent="0.25">
      <c r="B316">
        <v>101155</v>
      </c>
      <c r="C316" t="s">
        <v>741</v>
      </c>
      <c r="D316">
        <v>2016</v>
      </c>
      <c r="F316" s="89">
        <v>23277.054971194499</v>
      </c>
      <c r="G316" s="89" t="s">
        <v>128</v>
      </c>
      <c r="H316" s="89"/>
      <c r="I316" s="89">
        <v>23277.054971194499</v>
      </c>
      <c r="J316" s="89">
        <v>0</v>
      </c>
      <c r="K316" s="89">
        <v>0</v>
      </c>
      <c r="L316" s="89">
        <v>0</v>
      </c>
      <c r="M316" s="89">
        <v>0</v>
      </c>
      <c r="N316" s="89"/>
      <c r="O316" s="89">
        <v>0</v>
      </c>
      <c r="P316" s="89">
        <v>0</v>
      </c>
      <c r="Q316" s="89">
        <v>0</v>
      </c>
      <c r="R316" s="89">
        <v>0</v>
      </c>
      <c r="S316" s="89">
        <v>23277.054971194499</v>
      </c>
      <c r="T316"/>
      <c r="U316" t="s">
        <v>129</v>
      </c>
      <c r="V316" t="s">
        <v>129</v>
      </c>
      <c r="Y316" t="s">
        <v>688</v>
      </c>
      <c r="Z316" t="s">
        <v>131</v>
      </c>
      <c r="AA316" s="90">
        <v>93458</v>
      </c>
      <c r="AB316" t="s">
        <v>229</v>
      </c>
      <c r="AC316" t="s">
        <v>742</v>
      </c>
      <c r="AD316" t="s">
        <v>230</v>
      </c>
    </row>
    <row r="317" spans="2:30" x14ac:dyDescent="0.25">
      <c r="B317">
        <v>3035</v>
      </c>
      <c r="C317" t="s">
        <v>743</v>
      </c>
      <c r="D317">
        <v>2016</v>
      </c>
      <c r="F317" s="89">
        <v>0</v>
      </c>
      <c r="G317" s="89" t="s">
        <v>128</v>
      </c>
      <c r="H317" s="89"/>
      <c r="I317" s="89">
        <v>0</v>
      </c>
      <c r="J317" s="89">
        <v>0</v>
      </c>
      <c r="K317" s="89">
        <v>0</v>
      </c>
      <c r="L317" s="89">
        <v>0</v>
      </c>
      <c r="M317" s="89">
        <v>0</v>
      </c>
      <c r="N317" s="89"/>
      <c r="O317" s="89">
        <v>0</v>
      </c>
      <c r="P317" s="89">
        <v>0</v>
      </c>
      <c r="Q317" s="89">
        <v>0</v>
      </c>
      <c r="R317" s="89">
        <v>0</v>
      </c>
      <c r="S317" s="89">
        <v>0</v>
      </c>
      <c r="T317"/>
      <c r="U317" t="s">
        <v>129</v>
      </c>
      <c r="V317" t="s">
        <v>129</v>
      </c>
      <c r="Y317" t="s">
        <v>744</v>
      </c>
      <c r="Z317" t="s">
        <v>131</v>
      </c>
      <c r="AA317" s="90">
        <v>95948</v>
      </c>
      <c r="AB317" t="s">
        <v>158</v>
      </c>
      <c r="AC317" t="s">
        <v>136</v>
      </c>
      <c r="AD317" t="s">
        <v>137</v>
      </c>
    </row>
    <row r="318" spans="2:30" x14ac:dyDescent="0.25">
      <c r="B318">
        <v>101721</v>
      </c>
      <c r="C318" t="s">
        <v>745</v>
      </c>
      <c r="D318">
        <v>2016</v>
      </c>
      <c r="F318" s="89">
        <v>121301.401056916</v>
      </c>
      <c r="G318" s="89" t="s">
        <v>128</v>
      </c>
      <c r="H318" s="89"/>
      <c r="I318" s="89">
        <v>121301.401056916</v>
      </c>
      <c r="J318" s="89">
        <v>0</v>
      </c>
      <c r="K318" s="89">
        <v>0</v>
      </c>
      <c r="L318" s="89">
        <v>0</v>
      </c>
      <c r="M318" s="89">
        <v>0</v>
      </c>
      <c r="N318" s="89"/>
      <c r="O318" s="89">
        <v>121300.39745439999</v>
      </c>
      <c r="P318" s="89">
        <v>0</v>
      </c>
      <c r="Q318" s="89">
        <v>0</v>
      </c>
      <c r="R318" s="89">
        <v>121300.39745439999</v>
      </c>
      <c r="S318" s="89">
        <v>1.0036025159999999</v>
      </c>
      <c r="T318"/>
      <c r="U318" t="s">
        <v>155</v>
      </c>
      <c r="V318" t="s">
        <v>155</v>
      </c>
      <c r="W318" t="s">
        <v>235</v>
      </c>
      <c r="Y318" t="s">
        <v>746</v>
      </c>
      <c r="Z318" t="s">
        <v>131</v>
      </c>
      <c r="AA318" s="90">
        <v>93631</v>
      </c>
      <c r="AB318" t="s">
        <v>747</v>
      </c>
      <c r="AC318" t="s">
        <v>151</v>
      </c>
      <c r="AD318" t="s">
        <v>143</v>
      </c>
    </row>
    <row r="319" spans="2:30" x14ac:dyDescent="0.25">
      <c r="B319">
        <v>104473</v>
      </c>
      <c r="C319" t="s">
        <v>748</v>
      </c>
      <c r="D319">
        <v>2016</v>
      </c>
      <c r="F319" s="89">
        <v>1295.07972</v>
      </c>
      <c r="G319" s="89" t="s">
        <v>128</v>
      </c>
      <c r="H319" s="89"/>
      <c r="I319" s="89">
        <v>0</v>
      </c>
      <c r="J319" s="89">
        <v>0</v>
      </c>
      <c r="K319" s="89">
        <v>0</v>
      </c>
      <c r="L319" s="89">
        <v>0</v>
      </c>
      <c r="M319" s="89">
        <v>1295.07972</v>
      </c>
      <c r="N319" s="89"/>
      <c r="O319" s="89">
        <v>0</v>
      </c>
      <c r="P319" s="89">
        <v>0</v>
      </c>
      <c r="Q319" s="89">
        <v>1295.07972</v>
      </c>
      <c r="R319" s="89">
        <v>1295.07972</v>
      </c>
      <c r="S319" s="89">
        <v>0</v>
      </c>
      <c r="T319"/>
      <c r="U319" t="s">
        <v>155</v>
      </c>
      <c r="V319" t="s">
        <v>129</v>
      </c>
      <c r="W319" t="s">
        <v>222</v>
      </c>
      <c r="Y319" t="s">
        <v>749</v>
      </c>
      <c r="Z319" t="s">
        <v>750</v>
      </c>
      <c r="AA319" s="90">
        <v>33134</v>
      </c>
      <c r="AB319" t="s">
        <v>158</v>
      </c>
      <c r="AC319" t="s">
        <v>136</v>
      </c>
      <c r="AD319" t="s">
        <v>137</v>
      </c>
    </row>
    <row r="320" spans="2:30" x14ac:dyDescent="0.25">
      <c r="B320">
        <v>101542</v>
      </c>
      <c r="C320" t="s">
        <v>751</v>
      </c>
      <c r="D320">
        <v>2016</v>
      </c>
      <c r="F320" s="89">
        <v>15114.462444000001</v>
      </c>
      <c r="G320" s="89" t="s">
        <v>128</v>
      </c>
      <c r="H320" s="89"/>
      <c r="I320" s="89">
        <v>15114.462444000001</v>
      </c>
      <c r="J320" s="89">
        <v>0</v>
      </c>
      <c r="K320" s="89">
        <v>0</v>
      </c>
      <c r="L320" s="89">
        <v>0</v>
      </c>
      <c r="M320" s="89">
        <v>0</v>
      </c>
      <c r="N320" s="89"/>
      <c r="O320" s="89">
        <v>15114.462444000001</v>
      </c>
      <c r="P320" s="89">
        <v>0</v>
      </c>
      <c r="Q320" s="89">
        <v>0</v>
      </c>
      <c r="R320" s="89">
        <v>15114.462444000001</v>
      </c>
      <c r="S320" s="89">
        <v>0</v>
      </c>
      <c r="T320"/>
      <c r="U320" t="s">
        <v>155</v>
      </c>
      <c r="V320" t="s">
        <v>129</v>
      </c>
      <c r="W320" t="s">
        <v>277</v>
      </c>
      <c r="Y320" t="s">
        <v>625</v>
      </c>
      <c r="Z320" t="s">
        <v>131</v>
      </c>
      <c r="AA320" s="90">
        <v>93230</v>
      </c>
      <c r="AB320" t="s">
        <v>132</v>
      </c>
      <c r="AC320" t="s">
        <v>1</v>
      </c>
      <c r="AD320" t="s">
        <v>140</v>
      </c>
    </row>
    <row r="321" spans="2:30" x14ac:dyDescent="0.25">
      <c r="B321">
        <v>100186</v>
      </c>
      <c r="C321" t="s">
        <v>752</v>
      </c>
      <c r="D321">
        <v>2016</v>
      </c>
      <c r="F321" s="89">
        <v>10072.3470369632</v>
      </c>
      <c r="G321" s="89" t="s">
        <v>128</v>
      </c>
      <c r="H321" s="89"/>
      <c r="I321" s="89">
        <v>10072.3470369632</v>
      </c>
      <c r="J321" s="89">
        <v>0</v>
      </c>
      <c r="K321" s="89">
        <v>0</v>
      </c>
      <c r="L321" s="89">
        <v>0</v>
      </c>
      <c r="M321" s="89">
        <v>0</v>
      </c>
      <c r="N321" s="89"/>
      <c r="O321" s="89">
        <v>0</v>
      </c>
      <c r="P321" s="89">
        <v>0</v>
      </c>
      <c r="Q321" s="89">
        <v>0</v>
      </c>
      <c r="R321" s="89">
        <v>0</v>
      </c>
      <c r="S321" s="89">
        <v>10072.3470369632</v>
      </c>
      <c r="T321"/>
      <c r="U321" t="s">
        <v>129</v>
      </c>
      <c r="V321" t="s">
        <v>129</v>
      </c>
      <c r="Y321" t="s">
        <v>211</v>
      </c>
      <c r="Z321" t="s">
        <v>131</v>
      </c>
      <c r="AA321" s="90">
        <v>90744</v>
      </c>
      <c r="AB321" t="s">
        <v>132</v>
      </c>
      <c r="AC321" t="s">
        <v>0</v>
      </c>
      <c r="AD321" t="s">
        <v>140</v>
      </c>
    </row>
    <row r="322" spans="2:30" x14ac:dyDescent="0.25">
      <c r="B322">
        <v>104672</v>
      </c>
      <c r="C322" t="s">
        <v>753</v>
      </c>
      <c r="D322">
        <v>2016</v>
      </c>
      <c r="F322" s="89">
        <v>9979.8180960000009</v>
      </c>
      <c r="G322" s="89" t="s">
        <v>128</v>
      </c>
      <c r="H322" s="89"/>
      <c r="I322" s="89">
        <v>9979.8180960000009</v>
      </c>
      <c r="J322" s="89">
        <v>0</v>
      </c>
      <c r="K322" s="89">
        <v>0</v>
      </c>
      <c r="L322" s="89">
        <v>0</v>
      </c>
      <c r="M322" s="89">
        <v>0</v>
      </c>
      <c r="N322" s="89"/>
      <c r="O322" s="89">
        <v>0</v>
      </c>
      <c r="P322" s="89">
        <v>0</v>
      </c>
      <c r="Q322" s="89">
        <v>0</v>
      </c>
      <c r="R322" s="89">
        <v>0</v>
      </c>
      <c r="S322" s="89">
        <v>9979.8180960000009</v>
      </c>
      <c r="T322"/>
      <c r="U322" t="s">
        <v>129</v>
      </c>
      <c r="V322" t="s">
        <v>129</v>
      </c>
      <c r="Y322" t="s">
        <v>754</v>
      </c>
      <c r="Z322" t="s">
        <v>131</v>
      </c>
      <c r="AA322" s="90">
        <v>93662</v>
      </c>
      <c r="AB322" t="s">
        <v>755</v>
      </c>
      <c r="AC322" t="s">
        <v>0</v>
      </c>
      <c r="AD322" t="s">
        <v>143</v>
      </c>
    </row>
    <row r="323" spans="2:30" x14ac:dyDescent="0.25">
      <c r="B323">
        <v>3036</v>
      </c>
      <c r="C323" t="s">
        <v>756</v>
      </c>
      <c r="D323">
        <v>2016</v>
      </c>
      <c r="F323" s="89">
        <v>0</v>
      </c>
      <c r="G323" s="89" t="s">
        <v>128</v>
      </c>
      <c r="H323" s="89"/>
      <c r="I323" s="89">
        <v>0</v>
      </c>
      <c r="J323" s="89">
        <v>0</v>
      </c>
      <c r="K323" s="89">
        <v>0</v>
      </c>
      <c r="L323" s="89">
        <v>0</v>
      </c>
      <c r="M323" s="89">
        <v>0</v>
      </c>
      <c r="N323" s="89"/>
      <c r="O323" s="89">
        <v>0</v>
      </c>
      <c r="P323" s="89">
        <v>0</v>
      </c>
      <c r="Q323" s="89">
        <v>0</v>
      </c>
      <c r="R323" s="89">
        <v>0</v>
      </c>
      <c r="S323" s="89">
        <v>0</v>
      </c>
      <c r="T323"/>
      <c r="U323" t="s">
        <v>129</v>
      </c>
      <c r="V323" t="s">
        <v>129</v>
      </c>
      <c r="Y323" t="s">
        <v>757</v>
      </c>
      <c r="Z323" t="s">
        <v>131</v>
      </c>
      <c r="AA323" s="90">
        <v>90120</v>
      </c>
      <c r="AB323" t="s">
        <v>158</v>
      </c>
      <c r="AC323" t="s">
        <v>136</v>
      </c>
      <c r="AD323" t="s">
        <v>137</v>
      </c>
    </row>
    <row r="324" spans="2:30" x14ac:dyDescent="0.25">
      <c r="B324">
        <v>101364</v>
      </c>
      <c r="C324" t="s">
        <v>758</v>
      </c>
      <c r="D324">
        <v>2016</v>
      </c>
      <c r="F324" s="89">
        <v>17241.313116000001</v>
      </c>
      <c r="G324" s="89" t="s">
        <v>128</v>
      </c>
      <c r="H324" s="89"/>
      <c r="I324" s="89">
        <v>17241.313116000001</v>
      </c>
      <c r="J324" s="89">
        <v>0</v>
      </c>
      <c r="K324" s="89">
        <v>0</v>
      </c>
      <c r="L324" s="89">
        <v>0</v>
      </c>
      <c r="M324" s="89">
        <v>0</v>
      </c>
      <c r="N324" s="89"/>
      <c r="O324" s="89">
        <v>17241.313116000001</v>
      </c>
      <c r="P324" s="89">
        <v>0</v>
      </c>
      <c r="Q324" s="89">
        <v>0</v>
      </c>
      <c r="R324" s="89">
        <v>17241.313116000001</v>
      </c>
      <c r="S324" s="89">
        <v>0</v>
      </c>
      <c r="T324"/>
      <c r="U324" t="s">
        <v>155</v>
      </c>
      <c r="V324" t="s">
        <v>129</v>
      </c>
      <c r="W324" t="s">
        <v>277</v>
      </c>
      <c r="Y324" t="s">
        <v>759</v>
      </c>
      <c r="Z324" t="s">
        <v>131</v>
      </c>
      <c r="AA324" s="90">
        <v>93245</v>
      </c>
      <c r="AB324" t="s">
        <v>132</v>
      </c>
      <c r="AC324" t="s">
        <v>1</v>
      </c>
      <c r="AD324" t="s">
        <v>140</v>
      </c>
    </row>
    <row r="325" spans="2:30" x14ac:dyDescent="0.25">
      <c r="B325">
        <v>104360</v>
      </c>
      <c r="C325" t="s">
        <v>760</v>
      </c>
      <c r="D325">
        <v>2016</v>
      </c>
      <c r="F325" s="89">
        <v>19067.268737040002</v>
      </c>
      <c r="G325" s="89" t="s">
        <v>128</v>
      </c>
      <c r="H325" s="89"/>
      <c r="I325" s="89">
        <v>19067.268737040002</v>
      </c>
      <c r="J325" s="89">
        <v>0</v>
      </c>
      <c r="K325" s="89">
        <v>0</v>
      </c>
      <c r="L325" s="89">
        <v>0</v>
      </c>
      <c r="M325" s="89">
        <v>0</v>
      </c>
      <c r="N325" s="89"/>
      <c r="O325" s="89">
        <v>0</v>
      </c>
      <c r="P325" s="89">
        <v>0</v>
      </c>
      <c r="Q325" s="89">
        <v>0</v>
      </c>
      <c r="R325" s="89">
        <v>0</v>
      </c>
      <c r="S325" s="89">
        <v>19067.268737040002</v>
      </c>
      <c r="T325"/>
      <c r="U325" t="s">
        <v>129</v>
      </c>
      <c r="V325" t="s">
        <v>129</v>
      </c>
      <c r="Y325" t="s">
        <v>438</v>
      </c>
      <c r="Z325" t="s">
        <v>131</v>
      </c>
      <c r="AA325" s="90">
        <v>95119</v>
      </c>
      <c r="AB325" t="s">
        <v>761</v>
      </c>
      <c r="AC325" t="s">
        <v>0</v>
      </c>
      <c r="AD325" t="s">
        <v>143</v>
      </c>
    </row>
    <row r="326" spans="2:30" x14ac:dyDescent="0.25">
      <c r="B326">
        <v>101478</v>
      </c>
      <c r="C326" t="s">
        <v>762</v>
      </c>
      <c r="D326">
        <v>2016</v>
      </c>
      <c r="F326" s="89">
        <v>1262771.4188128</v>
      </c>
      <c r="G326" s="89" t="s">
        <v>128</v>
      </c>
      <c r="H326" s="89"/>
      <c r="I326" s="89">
        <v>1262771.4188128</v>
      </c>
      <c r="J326" s="89">
        <v>0</v>
      </c>
      <c r="K326" s="89">
        <v>0</v>
      </c>
      <c r="L326" s="89">
        <v>0</v>
      </c>
      <c r="M326" s="89">
        <v>0</v>
      </c>
      <c r="N326" s="89"/>
      <c r="O326" s="89">
        <v>1262771.4188128</v>
      </c>
      <c r="P326" s="89">
        <v>0</v>
      </c>
      <c r="Q326" s="89">
        <v>0</v>
      </c>
      <c r="R326" s="89">
        <v>1262771.4188128</v>
      </c>
      <c r="S326" s="89">
        <v>0</v>
      </c>
      <c r="T326"/>
      <c r="U326" t="s">
        <v>155</v>
      </c>
      <c r="V326" t="s">
        <v>129</v>
      </c>
      <c r="W326" t="s">
        <v>222</v>
      </c>
      <c r="Y326" t="s">
        <v>763</v>
      </c>
      <c r="Z326" t="s">
        <v>131</v>
      </c>
      <c r="AA326" s="90">
        <v>92394</v>
      </c>
      <c r="AB326" t="s">
        <v>132</v>
      </c>
      <c r="AC326" t="s">
        <v>385</v>
      </c>
      <c r="AD326" t="s">
        <v>140</v>
      </c>
    </row>
    <row r="327" spans="2:30" x14ac:dyDescent="0.25">
      <c r="B327">
        <v>104009</v>
      </c>
      <c r="C327" t="s">
        <v>764</v>
      </c>
      <c r="D327">
        <v>2016</v>
      </c>
      <c r="F327" s="89">
        <v>17772.804432000001</v>
      </c>
      <c r="G327" s="89" t="s">
        <v>128</v>
      </c>
      <c r="H327" s="89"/>
      <c r="I327" s="89">
        <v>17772.804432000001</v>
      </c>
      <c r="J327" s="89">
        <v>0</v>
      </c>
      <c r="K327" s="89">
        <v>0</v>
      </c>
      <c r="L327" s="89">
        <v>0</v>
      </c>
      <c r="M327" s="89">
        <v>0</v>
      </c>
      <c r="N327" s="89"/>
      <c r="O327" s="89">
        <v>0</v>
      </c>
      <c r="P327" s="89">
        <v>0</v>
      </c>
      <c r="Q327" s="89">
        <v>0</v>
      </c>
      <c r="R327" s="89">
        <v>0</v>
      </c>
      <c r="S327" s="89">
        <v>17772.804432000001</v>
      </c>
      <c r="T327"/>
      <c r="U327" t="s">
        <v>129</v>
      </c>
      <c r="V327" t="s">
        <v>129</v>
      </c>
      <c r="Y327" t="s">
        <v>561</v>
      </c>
      <c r="Z327" t="s">
        <v>131</v>
      </c>
      <c r="AA327" s="90">
        <v>96130</v>
      </c>
      <c r="AB327" t="s">
        <v>132</v>
      </c>
      <c r="AC327" t="s">
        <v>0</v>
      </c>
      <c r="AD327" t="s">
        <v>133</v>
      </c>
    </row>
    <row r="328" spans="2:30" x14ac:dyDescent="0.25">
      <c r="B328">
        <v>100189</v>
      </c>
      <c r="C328" t="s">
        <v>765</v>
      </c>
      <c r="D328">
        <v>2016</v>
      </c>
      <c r="F328" s="89">
        <v>5807.5086825600001</v>
      </c>
      <c r="G328" s="89" t="s">
        <v>128</v>
      </c>
      <c r="H328" s="89"/>
      <c r="I328" s="89">
        <v>5807.5086825600001</v>
      </c>
      <c r="J328" s="89">
        <v>0</v>
      </c>
      <c r="K328" s="89">
        <v>0</v>
      </c>
      <c r="L328" s="89">
        <v>0</v>
      </c>
      <c r="M328" s="89">
        <v>0</v>
      </c>
      <c r="N328" s="89"/>
      <c r="O328" s="89">
        <v>5807.5086825600001</v>
      </c>
      <c r="P328" s="89">
        <v>0</v>
      </c>
      <c r="Q328" s="89">
        <v>0</v>
      </c>
      <c r="R328" s="89">
        <v>5807.5086825600001</v>
      </c>
      <c r="S328" s="89">
        <v>0</v>
      </c>
      <c r="T328"/>
      <c r="U328" t="s">
        <v>155</v>
      </c>
      <c r="V328" t="s">
        <v>129</v>
      </c>
      <c r="W328" t="s">
        <v>277</v>
      </c>
      <c r="Y328" t="s">
        <v>178</v>
      </c>
      <c r="Z328" t="s">
        <v>131</v>
      </c>
      <c r="AA328" s="90">
        <v>93308</v>
      </c>
      <c r="AB328" t="s">
        <v>132</v>
      </c>
      <c r="AC328" t="s">
        <v>0</v>
      </c>
      <c r="AD328" t="s">
        <v>140</v>
      </c>
    </row>
    <row r="329" spans="2:30" x14ac:dyDescent="0.25">
      <c r="B329">
        <v>101288</v>
      </c>
      <c r="C329" t="s">
        <v>766</v>
      </c>
      <c r="D329">
        <v>2016</v>
      </c>
      <c r="F329" s="89">
        <v>75849.204137032299</v>
      </c>
      <c r="G329" s="89" t="s">
        <v>128</v>
      </c>
      <c r="H329" s="89"/>
      <c r="I329" s="89">
        <v>72143.904137032296</v>
      </c>
      <c r="J329" s="89">
        <v>3705.3</v>
      </c>
      <c r="K329" s="89">
        <v>0</v>
      </c>
      <c r="L329" s="89">
        <v>0</v>
      </c>
      <c r="M329" s="89">
        <v>0</v>
      </c>
      <c r="N329" s="89"/>
      <c r="O329" s="89">
        <v>72143.904137032296</v>
      </c>
      <c r="P329" s="89">
        <v>0</v>
      </c>
      <c r="Q329" s="89">
        <v>0</v>
      </c>
      <c r="R329" s="89">
        <v>72143.904137032296</v>
      </c>
      <c r="S329" s="89">
        <v>3705.3</v>
      </c>
      <c r="T329"/>
      <c r="U329" t="s">
        <v>155</v>
      </c>
      <c r="V329" t="s">
        <v>155</v>
      </c>
      <c r="W329" t="s">
        <v>565</v>
      </c>
      <c r="Y329" t="s">
        <v>767</v>
      </c>
      <c r="Z329" t="s">
        <v>131</v>
      </c>
      <c r="AA329" s="90">
        <v>95324</v>
      </c>
      <c r="AB329" t="s">
        <v>768</v>
      </c>
      <c r="AC329" t="s">
        <v>0</v>
      </c>
      <c r="AD329" t="s">
        <v>143</v>
      </c>
    </row>
    <row r="330" spans="2:30" x14ac:dyDescent="0.25">
      <c r="B330">
        <v>100029</v>
      </c>
      <c r="C330" t="s">
        <v>769</v>
      </c>
      <c r="D330">
        <v>2016</v>
      </c>
      <c r="F330" s="89">
        <v>145939.509463984</v>
      </c>
      <c r="G330" s="89" t="s">
        <v>128</v>
      </c>
      <c r="H330" s="89"/>
      <c r="I330" s="89">
        <v>5552.2994639845901</v>
      </c>
      <c r="J330" s="89">
        <v>140387.21</v>
      </c>
      <c r="K330" s="89">
        <v>0</v>
      </c>
      <c r="L330" s="89">
        <v>0</v>
      </c>
      <c r="M330" s="89">
        <v>0</v>
      </c>
      <c r="N330" s="89"/>
      <c r="O330" s="89">
        <v>0</v>
      </c>
      <c r="P330" s="89">
        <v>0</v>
      </c>
      <c r="Q330" s="89">
        <v>0</v>
      </c>
      <c r="R330" s="89">
        <v>0</v>
      </c>
      <c r="S330" s="89">
        <v>145939.509463984</v>
      </c>
      <c r="T330"/>
      <c r="U330" t="s">
        <v>155</v>
      </c>
      <c r="V330" t="s">
        <v>129</v>
      </c>
      <c r="W330" t="s">
        <v>770</v>
      </c>
      <c r="Y330" t="s">
        <v>771</v>
      </c>
      <c r="Z330" t="s">
        <v>131</v>
      </c>
      <c r="AA330" s="90">
        <v>96136</v>
      </c>
      <c r="AB330" t="s">
        <v>241</v>
      </c>
      <c r="AC330" t="s">
        <v>0</v>
      </c>
      <c r="AD330" t="s">
        <v>140</v>
      </c>
    </row>
    <row r="331" spans="2:30" x14ac:dyDescent="0.25">
      <c r="B331">
        <v>104368</v>
      </c>
      <c r="C331" t="s">
        <v>772</v>
      </c>
      <c r="D331">
        <v>2016</v>
      </c>
      <c r="F331" s="89">
        <v>24001.485717182</v>
      </c>
      <c r="G331" s="89" t="s">
        <v>128</v>
      </c>
      <c r="H331" s="89"/>
      <c r="I331" s="89">
        <v>24001.485717182</v>
      </c>
      <c r="J331" s="89">
        <v>0</v>
      </c>
      <c r="K331" s="89">
        <v>0</v>
      </c>
      <c r="L331" s="89">
        <v>0</v>
      </c>
      <c r="M331" s="89">
        <v>0</v>
      </c>
      <c r="N331" s="89"/>
      <c r="O331" s="89">
        <v>0</v>
      </c>
      <c r="P331" s="89">
        <v>0</v>
      </c>
      <c r="Q331" s="89">
        <v>0</v>
      </c>
      <c r="R331" s="89">
        <v>0</v>
      </c>
      <c r="S331" s="89">
        <v>24001.485717182</v>
      </c>
      <c r="T331"/>
      <c r="U331" t="s">
        <v>129</v>
      </c>
      <c r="V331" t="s">
        <v>129</v>
      </c>
      <c r="Y331" t="s">
        <v>773</v>
      </c>
      <c r="Z331" t="s">
        <v>131</v>
      </c>
      <c r="AA331" s="90">
        <v>92663</v>
      </c>
      <c r="AB331" t="s">
        <v>500</v>
      </c>
      <c r="AC331" t="s">
        <v>0</v>
      </c>
      <c r="AD331" t="s">
        <v>143</v>
      </c>
    </row>
    <row r="332" spans="2:30" x14ac:dyDescent="0.25">
      <c r="B332">
        <v>104426</v>
      </c>
      <c r="C332" t="s">
        <v>774</v>
      </c>
      <c r="D332">
        <v>2016</v>
      </c>
      <c r="F332" s="89">
        <v>30340.027438370002</v>
      </c>
      <c r="G332" s="89" t="s">
        <v>128</v>
      </c>
      <c r="H332" s="89"/>
      <c r="I332" s="89">
        <v>30340.027438370002</v>
      </c>
      <c r="J332" s="89">
        <v>0</v>
      </c>
      <c r="K332" s="89">
        <v>0</v>
      </c>
      <c r="L332" s="89">
        <v>0</v>
      </c>
      <c r="M332" s="89">
        <v>0</v>
      </c>
      <c r="N332" s="89"/>
      <c r="O332" s="89">
        <v>30032.078000000001</v>
      </c>
      <c r="P332" s="89">
        <v>0</v>
      </c>
      <c r="Q332" s="89">
        <v>0</v>
      </c>
      <c r="R332" s="89">
        <v>30032.078000000001</v>
      </c>
      <c r="S332" s="89">
        <v>307.94943837</v>
      </c>
      <c r="T332"/>
      <c r="U332" t="s">
        <v>155</v>
      </c>
      <c r="V332" t="s">
        <v>155</v>
      </c>
      <c r="W332" t="s">
        <v>277</v>
      </c>
      <c r="Y332" t="s">
        <v>775</v>
      </c>
      <c r="Z332" t="s">
        <v>131</v>
      </c>
      <c r="AA332" s="90">
        <v>93268</v>
      </c>
      <c r="AB332" t="s">
        <v>170</v>
      </c>
      <c r="AC332" t="s">
        <v>175</v>
      </c>
      <c r="AD332" t="s">
        <v>176</v>
      </c>
    </row>
    <row r="333" spans="2:30" x14ac:dyDescent="0.25">
      <c r="B333">
        <v>104580</v>
      </c>
      <c r="C333" t="s">
        <v>776</v>
      </c>
      <c r="D333">
        <v>2016</v>
      </c>
      <c r="F333" s="89">
        <v>17197.45088</v>
      </c>
      <c r="G333" s="89" t="s">
        <v>128</v>
      </c>
      <c r="H333" s="89"/>
      <c r="I333" s="89">
        <v>17197.45088</v>
      </c>
      <c r="J333" s="89">
        <v>0</v>
      </c>
      <c r="K333" s="89">
        <v>0</v>
      </c>
      <c r="L333" s="89">
        <v>0</v>
      </c>
      <c r="M333" s="89">
        <v>0</v>
      </c>
      <c r="N333" s="89"/>
      <c r="O333" s="89">
        <v>0</v>
      </c>
      <c r="P333" s="89">
        <v>0</v>
      </c>
      <c r="Q333" s="89">
        <v>0</v>
      </c>
      <c r="R333" s="89">
        <v>0</v>
      </c>
      <c r="S333" s="89">
        <v>17197.45088</v>
      </c>
      <c r="T333"/>
      <c r="U333" t="s">
        <v>129</v>
      </c>
      <c r="V333" t="s">
        <v>129</v>
      </c>
      <c r="Y333" t="s">
        <v>134</v>
      </c>
      <c r="Z333" t="s">
        <v>131</v>
      </c>
      <c r="AA333" s="90">
        <v>95826</v>
      </c>
      <c r="AB333" t="s">
        <v>393</v>
      </c>
      <c r="AC333" t="s">
        <v>0</v>
      </c>
      <c r="AD333" t="s">
        <v>143</v>
      </c>
    </row>
    <row r="334" spans="2:30" x14ac:dyDescent="0.25">
      <c r="B334">
        <v>104364</v>
      </c>
      <c r="C334" t="s">
        <v>777</v>
      </c>
      <c r="D334">
        <v>2016</v>
      </c>
      <c r="F334" s="89">
        <v>40318.511811199998</v>
      </c>
      <c r="G334" s="89" t="s">
        <v>128</v>
      </c>
      <c r="H334" s="89"/>
      <c r="I334" s="89">
        <v>40318.511811199998</v>
      </c>
      <c r="J334" s="89">
        <v>0</v>
      </c>
      <c r="K334" s="89">
        <v>0</v>
      </c>
      <c r="L334" s="89">
        <v>0</v>
      </c>
      <c r="M334" s="89">
        <v>0</v>
      </c>
      <c r="N334" s="89"/>
      <c r="O334" s="89">
        <v>0</v>
      </c>
      <c r="P334" s="89">
        <v>0</v>
      </c>
      <c r="Q334" s="89">
        <v>0</v>
      </c>
      <c r="R334" s="89">
        <v>0</v>
      </c>
      <c r="S334" s="89">
        <v>40318.511811199998</v>
      </c>
      <c r="T334"/>
      <c r="U334" t="s">
        <v>155</v>
      </c>
      <c r="V334" t="s">
        <v>129</v>
      </c>
      <c r="W334" t="s">
        <v>156</v>
      </c>
      <c r="Y334" t="s">
        <v>433</v>
      </c>
      <c r="Z334" t="s">
        <v>131</v>
      </c>
      <c r="AA334" s="90">
        <v>93012</v>
      </c>
      <c r="AB334" t="s">
        <v>778</v>
      </c>
      <c r="AC334" t="s">
        <v>0</v>
      </c>
      <c r="AD334" t="s">
        <v>133</v>
      </c>
    </row>
    <row r="335" spans="2:30" x14ac:dyDescent="0.25">
      <c r="B335">
        <v>104346</v>
      </c>
      <c r="C335" t="s">
        <v>779</v>
      </c>
      <c r="D335">
        <v>2016</v>
      </c>
      <c r="F335" s="89">
        <v>24600</v>
      </c>
      <c r="G335" s="89" t="s">
        <v>128</v>
      </c>
      <c r="H335" s="89"/>
      <c r="I335" s="89">
        <v>24600</v>
      </c>
      <c r="J335" s="89">
        <v>0</v>
      </c>
      <c r="K335" s="89">
        <v>0</v>
      </c>
      <c r="L335" s="89">
        <v>0</v>
      </c>
      <c r="M335" s="89">
        <v>0</v>
      </c>
      <c r="N335" s="89"/>
      <c r="O335" s="89">
        <v>0</v>
      </c>
      <c r="P335" s="89">
        <v>0</v>
      </c>
      <c r="Q335" s="89">
        <v>0</v>
      </c>
      <c r="R335" s="89">
        <v>0</v>
      </c>
      <c r="S335" s="89">
        <v>24600</v>
      </c>
      <c r="T335"/>
      <c r="U335" t="s">
        <v>129</v>
      </c>
      <c r="V335" t="s">
        <v>129</v>
      </c>
      <c r="Y335" t="s">
        <v>387</v>
      </c>
      <c r="Z335" t="s">
        <v>131</v>
      </c>
      <c r="AA335" s="90">
        <v>92233</v>
      </c>
      <c r="AB335" t="s">
        <v>139</v>
      </c>
      <c r="AC335" t="s">
        <v>0</v>
      </c>
      <c r="AD335" t="s">
        <v>140</v>
      </c>
    </row>
    <row r="336" spans="2:30" x14ac:dyDescent="0.25">
      <c r="B336">
        <v>104377</v>
      </c>
      <c r="C336" t="s">
        <v>780</v>
      </c>
      <c r="D336">
        <v>2016</v>
      </c>
      <c r="F336" s="89">
        <v>15709.302940306001</v>
      </c>
      <c r="G336" s="89" t="s">
        <v>128</v>
      </c>
      <c r="H336" s="89"/>
      <c r="I336" s="89">
        <v>15709.302940306001</v>
      </c>
      <c r="J336" s="89">
        <v>0</v>
      </c>
      <c r="K336" s="89">
        <v>0</v>
      </c>
      <c r="L336" s="89">
        <v>0</v>
      </c>
      <c r="M336" s="89">
        <v>0</v>
      </c>
      <c r="N336" s="89"/>
      <c r="O336" s="89">
        <v>0</v>
      </c>
      <c r="P336" s="89">
        <v>0</v>
      </c>
      <c r="Q336" s="89">
        <v>0</v>
      </c>
      <c r="R336" s="89">
        <v>0</v>
      </c>
      <c r="S336" s="89">
        <v>15709.302940306001</v>
      </c>
      <c r="T336"/>
      <c r="U336" t="s">
        <v>129</v>
      </c>
      <c r="V336" t="s">
        <v>129</v>
      </c>
      <c r="Y336" t="s">
        <v>405</v>
      </c>
      <c r="Z336" t="s">
        <v>131</v>
      </c>
      <c r="AA336" s="90">
        <v>91105</v>
      </c>
      <c r="AB336" t="s">
        <v>500</v>
      </c>
      <c r="AC336" t="s">
        <v>0</v>
      </c>
      <c r="AD336" t="s">
        <v>143</v>
      </c>
    </row>
    <row r="337" spans="2:30" x14ac:dyDescent="0.25">
      <c r="B337">
        <v>104229</v>
      </c>
      <c r="C337" t="s">
        <v>781</v>
      </c>
      <c r="D337">
        <v>2016</v>
      </c>
      <c r="F337" s="89">
        <v>2894736.062072</v>
      </c>
      <c r="G337" s="89" t="s">
        <v>128</v>
      </c>
      <c r="H337" s="89"/>
      <c r="I337" s="89">
        <v>0</v>
      </c>
      <c r="J337" s="89">
        <v>0</v>
      </c>
      <c r="K337" s="89">
        <v>2753472.3409719998</v>
      </c>
      <c r="L337" s="89">
        <v>141263.7211</v>
      </c>
      <c r="M337" s="89">
        <v>0</v>
      </c>
      <c r="N337" s="89"/>
      <c r="O337" s="89">
        <v>0</v>
      </c>
      <c r="P337" s="89">
        <v>2753472.3409719998</v>
      </c>
      <c r="Q337" s="89">
        <v>0</v>
      </c>
      <c r="R337" s="89">
        <v>2753472.3409719998</v>
      </c>
      <c r="S337" s="89">
        <v>141263.7211</v>
      </c>
      <c r="T337"/>
      <c r="U337" t="s">
        <v>155</v>
      </c>
      <c r="V337" t="s">
        <v>129</v>
      </c>
      <c r="W337" t="s">
        <v>277</v>
      </c>
      <c r="Y337" t="s">
        <v>134</v>
      </c>
      <c r="Z337" t="s">
        <v>131</v>
      </c>
      <c r="AA337" s="90">
        <v>95811</v>
      </c>
      <c r="AB337" t="s">
        <v>146</v>
      </c>
      <c r="AC337" t="s">
        <v>147</v>
      </c>
      <c r="AD337" t="s">
        <v>148</v>
      </c>
    </row>
    <row r="338" spans="2:30" x14ac:dyDescent="0.25">
      <c r="B338">
        <v>101318</v>
      </c>
      <c r="C338" t="s">
        <v>782</v>
      </c>
      <c r="D338">
        <v>2016</v>
      </c>
      <c r="F338" s="89">
        <v>37297.7993500917</v>
      </c>
      <c r="G338" s="89" t="s">
        <v>128</v>
      </c>
      <c r="H338" s="89"/>
      <c r="I338" s="89">
        <v>37297.7993500917</v>
      </c>
      <c r="J338" s="89">
        <v>0</v>
      </c>
      <c r="K338" s="89">
        <v>0</v>
      </c>
      <c r="L338" s="89">
        <v>0</v>
      </c>
      <c r="M338" s="89">
        <v>0</v>
      </c>
      <c r="N338" s="89"/>
      <c r="O338" s="89">
        <v>37219.117625600004</v>
      </c>
      <c r="P338" s="89">
        <v>0</v>
      </c>
      <c r="Q338" s="89">
        <v>0</v>
      </c>
      <c r="R338" s="89">
        <v>37219.117625600004</v>
      </c>
      <c r="S338" s="89">
        <v>78.6817244917968</v>
      </c>
      <c r="T338"/>
      <c r="U338" t="s">
        <v>155</v>
      </c>
      <c r="V338" t="s">
        <v>129</v>
      </c>
      <c r="W338" t="s">
        <v>368</v>
      </c>
      <c r="Y338" t="s">
        <v>544</v>
      </c>
      <c r="Z338" t="s">
        <v>131</v>
      </c>
      <c r="AA338" s="90">
        <v>93436</v>
      </c>
      <c r="AB338" t="s">
        <v>641</v>
      </c>
      <c r="AC338" t="s">
        <v>0</v>
      </c>
      <c r="AD338" t="s">
        <v>143</v>
      </c>
    </row>
    <row r="339" spans="2:30" x14ac:dyDescent="0.25">
      <c r="B339">
        <v>3038</v>
      </c>
      <c r="C339" t="s">
        <v>783</v>
      </c>
      <c r="D339">
        <v>2016</v>
      </c>
      <c r="F339" s="89">
        <v>1405088.08868371</v>
      </c>
      <c r="G339" s="89" t="s">
        <v>128</v>
      </c>
      <c r="H339" s="89"/>
      <c r="I339" s="89">
        <v>0</v>
      </c>
      <c r="J339" s="89">
        <v>0</v>
      </c>
      <c r="K339" s="89">
        <v>0</v>
      </c>
      <c r="L339" s="89">
        <v>0</v>
      </c>
      <c r="M339" s="89">
        <v>1405088.08868371</v>
      </c>
      <c r="N339" s="89"/>
      <c r="O339" s="89">
        <v>0</v>
      </c>
      <c r="P339" s="89">
        <v>0</v>
      </c>
      <c r="Q339" s="89">
        <v>910325.91836704197</v>
      </c>
      <c r="R339" s="89">
        <v>910325.91836704197</v>
      </c>
      <c r="S339" s="89">
        <v>494762.17031666799</v>
      </c>
      <c r="T339"/>
      <c r="U339" t="s">
        <v>155</v>
      </c>
      <c r="V339" t="s">
        <v>129</v>
      </c>
      <c r="W339" t="s">
        <v>509</v>
      </c>
      <c r="Y339" t="s">
        <v>784</v>
      </c>
      <c r="Z339" t="s">
        <v>131</v>
      </c>
      <c r="AA339" s="90">
        <v>92251</v>
      </c>
      <c r="AB339" t="s">
        <v>158</v>
      </c>
      <c r="AC339" t="s">
        <v>136</v>
      </c>
      <c r="AD339" t="s">
        <v>137</v>
      </c>
    </row>
    <row r="340" spans="2:30" x14ac:dyDescent="0.25">
      <c r="B340">
        <v>100162</v>
      </c>
      <c r="C340" t="s">
        <v>785</v>
      </c>
      <c r="D340">
        <v>2016</v>
      </c>
      <c r="F340" s="89">
        <v>492049.64364200999</v>
      </c>
      <c r="G340" s="89" t="s">
        <v>128</v>
      </c>
      <c r="H340" s="89"/>
      <c r="I340" s="89">
        <v>492049.64364200999</v>
      </c>
      <c r="J340" s="89">
        <v>0</v>
      </c>
      <c r="K340" s="89">
        <v>0</v>
      </c>
      <c r="L340" s="89">
        <v>0</v>
      </c>
      <c r="M340" s="89">
        <v>0</v>
      </c>
      <c r="N340" s="89"/>
      <c r="O340" s="89">
        <v>492049.16796231997</v>
      </c>
      <c r="P340" s="89">
        <v>0</v>
      </c>
      <c r="Q340" s="89">
        <v>0</v>
      </c>
      <c r="R340" s="89">
        <v>492049.16796231997</v>
      </c>
      <c r="S340" s="89">
        <v>0.47567968999999999</v>
      </c>
      <c r="T340"/>
      <c r="U340" t="s">
        <v>155</v>
      </c>
      <c r="V340" t="s">
        <v>129</v>
      </c>
      <c r="W340" t="s">
        <v>509</v>
      </c>
      <c r="Y340" t="s">
        <v>786</v>
      </c>
      <c r="Z340" t="s">
        <v>131</v>
      </c>
      <c r="AA340" s="90">
        <v>92245</v>
      </c>
      <c r="AB340" t="s">
        <v>132</v>
      </c>
      <c r="AC340" t="s">
        <v>1</v>
      </c>
      <c r="AD340" t="s">
        <v>140</v>
      </c>
    </row>
    <row r="341" spans="2:30" x14ac:dyDescent="0.25">
      <c r="B341">
        <v>101307</v>
      </c>
      <c r="C341" t="s">
        <v>787</v>
      </c>
      <c r="D341">
        <v>2016</v>
      </c>
      <c r="F341" s="89">
        <v>40795.840290239998</v>
      </c>
      <c r="G341" s="89" t="s">
        <v>128</v>
      </c>
      <c r="H341" s="89"/>
      <c r="I341" s="89">
        <v>40795.840290239998</v>
      </c>
      <c r="J341" s="89">
        <v>0</v>
      </c>
      <c r="K341" s="89">
        <v>0</v>
      </c>
      <c r="L341" s="89">
        <v>0</v>
      </c>
      <c r="M341" s="89">
        <v>0</v>
      </c>
      <c r="N341" s="89"/>
      <c r="O341" s="89">
        <v>40795.840290239998</v>
      </c>
      <c r="P341" s="89">
        <v>0</v>
      </c>
      <c r="Q341" s="89">
        <v>0</v>
      </c>
      <c r="R341" s="89">
        <v>40795.840290239998</v>
      </c>
      <c r="S341" s="89">
        <v>0</v>
      </c>
      <c r="T341"/>
      <c r="U341" t="s">
        <v>155</v>
      </c>
      <c r="V341" t="s">
        <v>129</v>
      </c>
      <c r="W341" t="s">
        <v>509</v>
      </c>
      <c r="Y341" t="s">
        <v>788</v>
      </c>
      <c r="Z341" t="s">
        <v>131</v>
      </c>
      <c r="AA341" s="90">
        <v>92257</v>
      </c>
      <c r="AB341" t="s">
        <v>132</v>
      </c>
      <c r="AC341" t="s">
        <v>1</v>
      </c>
      <c r="AD341" t="s">
        <v>140</v>
      </c>
    </row>
    <row r="342" spans="2:30" x14ac:dyDescent="0.25">
      <c r="B342">
        <v>101008</v>
      </c>
      <c r="C342" t="s">
        <v>789</v>
      </c>
      <c r="D342">
        <v>2016</v>
      </c>
      <c r="F342" s="89">
        <v>82832.516733101394</v>
      </c>
      <c r="G342" s="89" t="s">
        <v>128</v>
      </c>
      <c r="H342" s="89"/>
      <c r="I342" s="89">
        <v>82832.516733101394</v>
      </c>
      <c r="J342" s="89">
        <v>0</v>
      </c>
      <c r="K342" s="89">
        <v>0</v>
      </c>
      <c r="L342" s="89">
        <v>0</v>
      </c>
      <c r="M342" s="89">
        <v>0</v>
      </c>
      <c r="N342" s="89"/>
      <c r="O342" s="89">
        <v>82832.516733101394</v>
      </c>
      <c r="P342" s="89">
        <v>0</v>
      </c>
      <c r="Q342" s="89">
        <v>0</v>
      </c>
      <c r="R342" s="89">
        <v>82832.516733101394</v>
      </c>
      <c r="S342" s="89">
        <v>0</v>
      </c>
      <c r="T342"/>
      <c r="U342" t="s">
        <v>155</v>
      </c>
      <c r="V342" t="s">
        <v>155</v>
      </c>
      <c r="W342" t="s">
        <v>222</v>
      </c>
      <c r="Y342" t="s">
        <v>397</v>
      </c>
      <c r="Z342" t="s">
        <v>131</v>
      </c>
      <c r="AA342" s="90">
        <v>93635</v>
      </c>
      <c r="AB342" t="s">
        <v>485</v>
      </c>
      <c r="AC342" t="s">
        <v>0</v>
      </c>
      <c r="AD342" t="s">
        <v>143</v>
      </c>
    </row>
    <row r="343" spans="2:30" x14ac:dyDescent="0.25">
      <c r="B343">
        <v>100323</v>
      </c>
      <c r="C343" t="s">
        <v>790</v>
      </c>
      <c r="D343">
        <v>2016</v>
      </c>
      <c r="F343" s="89">
        <v>81093.824940799997</v>
      </c>
      <c r="G343" s="89" t="s">
        <v>128</v>
      </c>
      <c r="H343" s="89"/>
      <c r="I343" s="89">
        <v>81093.824940799997</v>
      </c>
      <c r="J343" s="89">
        <v>0</v>
      </c>
      <c r="K343" s="89">
        <v>0</v>
      </c>
      <c r="L343" s="89">
        <v>0</v>
      </c>
      <c r="M343" s="89">
        <v>0</v>
      </c>
      <c r="N343" s="89"/>
      <c r="O343" s="89">
        <v>81093.824940799997</v>
      </c>
      <c r="P343" s="89">
        <v>0</v>
      </c>
      <c r="Q343" s="89">
        <v>0</v>
      </c>
      <c r="R343" s="89">
        <v>81093.824940799997</v>
      </c>
      <c r="S343" s="89">
        <v>0</v>
      </c>
      <c r="T343"/>
      <c r="U343" t="s">
        <v>155</v>
      </c>
      <c r="V343" t="s">
        <v>129</v>
      </c>
      <c r="W343" t="s">
        <v>156</v>
      </c>
      <c r="Y343" t="s">
        <v>487</v>
      </c>
      <c r="Z343" t="s">
        <v>131</v>
      </c>
      <c r="AA343" s="90">
        <v>95206</v>
      </c>
      <c r="AB343" t="s">
        <v>791</v>
      </c>
      <c r="AC343" t="s">
        <v>0</v>
      </c>
      <c r="AD343" t="s">
        <v>143</v>
      </c>
    </row>
    <row r="344" spans="2:30" x14ac:dyDescent="0.25">
      <c r="B344">
        <v>101686</v>
      </c>
      <c r="C344" t="s">
        <v>792</v>
      </c>
      <c r="D344">
        <v>2016</v>
      </c>
      <c r="F344" s="89">
        <v>149372.89372943999</v>
      </c>
      <c r="G344" s="89" t="s">
        <v>128</v>
      </c>
      <c r="H344" s="89"/>
      <c r="I344" s="89">
        <v>149372.89372943999</v>
      </c>
      <c r="J344" s="89">
        <v>0</v>
      </c>
      <c r="K344" s="89">
        <v>0</v>
      </c>
      <c r="L344" s="89">
        <v>0</v>
      </c>
      <c r="M344" s="89">
        <v>0</v>
      </c>
      <c r="N344" s="89"/>
      <c r="O344" s="89">
        <v>149372.89372943999</v>
      </c>
      <c r="P344" s="89">
        <v>0</v>
      </c>
      <c r="Q344" s="89">
        <v>0</v>
      </c>
      <c r="R344" s="89">
        <v>149372.89372943999</v>
      </c>
      <c r="S344" s="89">
        <v>0</v>
      </c>
      <c r="T344"/>
      <c r="U344" t="s">
        <v>155</v>
      </c>
      <c r="V344" t="s">
        <v>129</v>
      </c>
      <c r="W344" t="s">
        <v>156</v>
      </c>
      <c r="Y344" t="s">
        <v>793</v>
      </c>
      <c r="Z344" t="s">
        <v>131</v>
      </c>
      <c r="AA344" s="90">
        <v>92585</v>
      </c>
      <c r="AB344" t="s">
        <v>132</v>
      </c>
      <c r="AC344" t="s">
        <v>385</v>
      </c>
      <c r="AD344" t="s">
        <v>140</v>
      </c>
    </row>
    <row r="345" spans="2:30" x14ac:dyDescent="0.25">
      <c r="B345">
        <v>5045</v>
      </c>
      <c r="C345" t="s">
        <v>794</v>
      </c>
      <c r="D345">
        <v>2016</v>
      </c>
      <c r="F345" s="89">
        <v>1000020.613073</v>
      </c>
      <c r="G345" s="89" t="s">
        <v>128</v>
      </c>
      <c r="H345" s="89"/>
      <c r="I345" s="89">
        <v>0</v>
      </c>
      <c r="J345" s="89">
        <v>0</v>
      </c>
      <c r="K345" s="89">
        <v>651584.76347300003</v>
      </c>
      <c r="L345" s="89">
        <v>348435.84960000002</v>
      </c>
      <c r="M345" s="89">
        <v>0</v>
      </c>
      <c r="N345" s="89"/>
      <c r="O345" s="89">
        <v>0</v>
      </c>
      <c r="P345" s="89">
        <v>651584.76347300003</v>
      </c>
      <c r="Q345" s="89">
        <v>0</v>
      </c>
      <c r="R345" s="89">
        <v>651584.76347300003</v>
      </c>
      <c r="S345" s="89">
        <v>348435.84960000002</v>
      </c>
      <c r="T345"/>
      <c r="U345" t="s">
        <v>155</v>
      </c>
      <c r="V345" t="s">
        <v>129</v>
      </c>
      <c r="W345" t="s">
        <v>222</v>
      </c>
      <c r="Y345" t="s">
        <v>795</v>
      </c>
      <c r="Z345" t="s">
        <v>131</v>
      </c>
      <c r="AA345" s="90">
        <v>92707</v>
      </c>
      <c r="AB345" t="s">
        <v>146</v>
      </c>
      <c r="AC345" t="s">
        <v>147</v>
      </c>
      <c r="AD345" t="s">
        <v>148</v>
      </c>
    </row>
    <row r="346" spans="2:30" x14ac:dyDescent="0.25">
      <c r="B346">
        <v>104465</v>
      </c>
      <c r="C346" t="s">
        <v>796</v>
      </c>
      <c r="D346">
        <v>2016</v>
      </c>
      <c r="F346" s="89">
        <v>72568.636064000006</v>
      </c>
      <c r="G346" s="89" t="s">
        <v>128</v>
      </c>
      <c r="H346" s="89"/>
      <c r="I346" s="89">
        <v>72568.636064000006</v>
      </c>
      <c r="J346" s="89">
        <v>0</v>
      </c>
      <c r="K346" s="89">
        <v>0</v>
      </c>
      <c r="L346" s="89">
        <v>0</v>
      </c>
      <c r="M346" s="89">
        <v>0</v>
      </c>
      <c r="N346" s="89"/>
      <c r="O346" s="89">
        <v>72568.636064000006</v>
      </c>
      <c r="P346" s="89">
        <v>0</v>
      </c>
      <c r="Q346" s="89">
        <v>0</v>
      </c>
      <c r="R346" s="89">
        <v>72568.636064000006</v>
      </c>
      <c r="S346" s="89">
        <v>0</v>
      </c>
      <c r="T346"/>
      <c r="U346" t="s">
        <v>155</v>
      </c>
      <c r="V346" t="s">
        <v>129</v>
      </c>
      <c r="W346" t="s">
        <v>222</v>
      </c>
      <c r="Y346" t="s">
        <v>797</v>
      </c>
      <c r="Z346" t="s">
        <v>131</v>
      </c>
      <c r="AA346" s="90">
        <v>92364</v>
      </c>
      <c r="AB346" t="s">
        <v>798</v>
      </c>
      <c r="AC346" t="s">
        <v>0</v>
      </c>
      <c r="AD346" t="s">
        <v>140</v>
      </c>
    </row>
    <row r="347" spans="2:30" x14ac:dyDescent="0.25">
      <c r="B347">
        <v>104335</v>
      </c>
      <c r="C347" t="s">
        <v>799</v>
      </c>
      <c r="D347">
        <v>2016</v>
      </c>
      <c r="F347" s="89">
        <v>27144.392999999902</v>
      </c>
      <c r="G347" s="89" t="s">
        <v>128</v>
      </c>
      <c r="H347" s="89"/>
      <c r="I347" s="89">
        <v>0</v>
      </c>
      <c r="J347" s="89">
        <v>0</v>
      </c>
      <c r="K347" s="89">
        <v>0</v>
      </c>
      <c r="L347" s="89">
        <v>0</v>
      </c>
      <c r="M347" s="89">
        <v>27144.392999999902</v>
      </c>
      <c r="N347" s="89"/>
      <c r="O347" s="89">
        <v>0</v>
      </c>
      <c r="P347" s="89">
        <v>0</v>
      </c>
      <c r="Q347" s="89">
        <v>27144.392999999902</v>
      </c>
      <c r="R347" s="89">
        <v>27144.392999999902</v>
      </c>
      <c r="S347" s="89">
        <v>0</v>
      </c>
      <c r="T347"/>
      <c r="U347" t="s">
        <v>155</v>
      </c>
      <c r="V347" t="s">
        <v>129</v>
      </c>
      <c r="W347" t="s">
        <v>372</v>
      </c>
      <c r="Y347" t="s">
        <v>800</v>
      </c>
      <c r="Z347" t="s">
        <v>192</v>
      </c>
      <c r="AA347" s="90">
        <v>10282</v>
      </c>
      <c r="AB347" t="s">
        <v>527</v>
      </c>
      <c r="AC347" t="s">
        <v>136</v>
      </c>
      <c r="AD347" t="s">
        <v>137</v>
      </c>
    </row>
    <row r="348" spans="2:30" x14ac:dyDescent="0.25">
      <c r="B348">
        <v>101705</v>
      </c>
      <c r="C348" t="s">
        <v>801</v>
      </c>
      <c r="D348">
        <v>2016</v>
      </c>
      <c r="F348" s="89">
        <v>42239.47408</v>
      </c>
      <c r="G348" s="89" t="s">
        <v>128</v>
      </c>
      <c r="H348" s="89"/>
      <c r="I348" s="89">
        <v>42239.47408</v>
      </c>
      <c r="J348" s="89">
        <v>0</v>
      </c>
      <c r="K348" s="89">
        <v>0</v>
      </c>
      <c r="L348" s="89">
        <v>0</v>
      </c>
      <c r="M348" s="89">
        <v>0</v>
      </c>
      <c r="N348" s="89"/>
      <c r="O348" s="89">
        <v>42239.47408</v>
      </c>
      <c r="P348" s="89">
        <v>0</v>
      </c>
      <c r="Q348" s="89">
        <v>0</v>
      </c>
      <c r="R348" s="89">
        <v>42239.47408</v>
      </c>
      <c r="S348" s="89">
        <v>0</v>
      </c>
      <c r="T348"/>
      <c r="U348" t="s">
        <v>155</v>
      </c>
      <c r="V348" t="s">
        <v>155</v>
      </c>
      <c r="W348" t="s">
        <v>232</v>
      </c>
      <c r="Y348" t="s">
        <v>802</v>
      </c>
      <c r="Z348" t="s">
        <v>131</v>
      </c>
      <c r="AA348" s="90">
        <v>93206</v>
      </c>
      <c r="AB348" t="s">
        <v>485</v>
      </c>
      <c r="AC348" t="s">
        <v>0</v>
      </c>
      <c r="AD348" t="s">
        <v>143</v>
      </c>
    </row>
    <row r="349" spans="2:30" x14ac:dyDescent="0.25">
      <c r="B349">
        <v>104224</v>
      </c>
      <c r="C349" t="s">
        <v>803</v>
      </c>
      <c r="D349">
        <v>2016</v>
      </c>
      <c r="F349" s="89">
        <v>9341.1761839999999</v>
      </c>
      <c r="G349" s="89" t="s">
        <v>128</v>
      </c>
      <c r="H349" s="89"/>
      <c r="I349" s="89">
        <v>9341.1761839999999</v>
      </c>
      <c r="J349" s="89">
        <v>0</v>
      </c>
      <c r="K349" s="89">
        <v>0</v>
      </c>
      <c r="L349" s="89">
        <v>0</v>
      </c>
      <c r="M349" s="89">
        <v>0</v>
      </c>
      <c r="N349" s="89"/>
      <c r="O349" s="89">
        <v>0</v>
      </c>
      <c r="P349" s="89">
        <v>0</v>
      </c>
      <c r="Q349" s="89">
        <v>0</v>
      </c>
      <c r="R349" s="89">
        <v>0</v>
      </c>
      <c r="S349" s="89">
        <v>9341.1761839999999</v>
      </c>
      <c r="T349"/>
      <c r="U349" t="s">
        <v>129</v>
      </c>
      <c r="V349" t="s">
        <v>129</v>
      </c>
      <c r="Y349" t="s">
        <v>431</v>
      </c>
      <c r="Z349" t="s">
        <v>131</v>
      </c>
      <c r="AA349" s="90">
        <v>93212</v>
      </c>
      <c r="AB349" t="s">
        <v>804</v>
      </c>
      <c r="AC349" t="s">
        <v>0</v>
      </c>
      <c r="AD349" t="s">
        <v>143</v>
      </c>
    </row>
    <row r="350" spans="2:30" x14ac:dyDescent="0.25">
      <c r="B350">
        <v>101504</v>
      </c>
      <c r="C350" t="s">
        <v>805</v>
      </c>
      <c r="D350">
        <v>2016</v>
      </c>
      <c r="F350" s="89">
        <v>35556.764598399997</v>
      </c>
      <c r="G350" s="89" t="s">
        <v>128</v>
      </c>
      <c r="H350" s="89"/>
      <c r="I350" s="89">
        <v>35556.764598399997</v>
      </c>
      <c r="J350" s="89">
        <v>0</v>
      </c>
      <c r="K350" s="89">
        <v>0</v>
      </c>
      <c r="L350" s="89">
        <v>0</v>
      </c>
      <c r="M350" s="89">
        <v>0</v>
      </c>
      <c r="N350" s="89"/>
      <c r="O350" s="89">
        <v>35556.764598399997</v>
      </c>
      <c r="P350" s="89">
        <v>0</v>
      </c>
      <c r="Q350" s="89">
        <v>0</v>
      </c>
      <c r="R350" s="89">
        <v>35556.764598399997</v>
      </c>
      <c r="S350" s="89">
        <v>0</v>
      </c>
      <c r="T350"/>
      <c r="U350" t="s">
        <v>155</v>
      </c>
      <c r="V350" t="s">
        <v>155</v>
      </c>
      <c r="W350" t="s">
        <v>232</v>
      </c>
      <c r="Y350" t="s">
        <v>431</v>
      </c>
      <c r="Z350" t="s">
        <v>131</v>
      </c>
      <c r="AA350" s="90">
        <v>93212</v>
      </c>
      <c r="AB350" t="s">
        <v>485</v>
      </c>
      <c r="AC350" t="s">
        <v>0</v>
      </c>
      <c r="AD350" t="s">
        <v>143</v>
      </c>
    </row>
    <row r="351" spans="2:30" x14ac:dyDescent="0.25">
      <c r="B351">
        <v>104320</v>
      </c>
      <c r="C351" t="s">
        <v>806</v>
      </c>
      <c r="D351">
        <v>2016</v>
      </c>
      <c r="F351" s="89">
        <v>1575838.425263</v>
      </c>
      <c r="G351" s="89" t="s">
        <v>128</v>
      </c>
      <c r="H351" s="89"/>
      <c r="I351" s="89">
        <v>0</v>
      </c>
      <c r="J351" s="89">
        <v>0</v>
      </c>
      <c r="K351" s="89">
        <v>1474817.8186629999</v>
      </c>
      <c r="L351" s="89">
        <v>101020.6066</v>
      </c>
      <c r="M351" s="89">
        <v>0</v>
      </c>
      <c r="N351" s="89"/>
      <c r="O351" s="89">
        <v>0</v>
      </c>
      <c r="P351" s="89">
        <v>1474817.8186629999</v>
      </c>
      <c r="Q351" s="89">
        <v>0</v>
      </c>
      <c r="R351" s="89">
        <v>1474817.8186629999</v>
      </c>
      <c r="S351" s="89">
        <v>101020.6066</v>
      </c>
      <c r="T351"/>
      <c r="U351" t="s">
        <v>155</v>
      </c>
      <c r="V351" t="s">
        <v>129</v>
      </c>
      <c r="W351" t="s">
        <v>368</v>
      </c>
      <c r="Y351" t="s">
        <v>807</v>
      </c>
      <c r="Z351" t="s">
        <v>131</v>
      </c>
      <c r="AA351" s="90">
        <v>93308</v>
      </c>
      <c r="AB351" t="s">
        <v>808</v>
      </c>
      <c r="AC351" t="s">
        <v>147</v>
      </c>
      <c r="AD351" t="s">
        <v>148</v>
      </c>
    </row>
    <row r="352" spans="2:30" x14ac:dyDescent="0.25">
      <c r="B352">
        <v>104216</v>
      </c>
      <c r="C352" t="s">
        <v>809</v>
      </c>
      <c r="D352">
        <v>2016</v>
      </c>
      <c r="F352" s="89">
        <v>12011.197822652201</v>
      </c>
      <c r="G352" s="89" t="s">
        <v>128</v>
      </c>
      <c r="H352" s="89"/>
      <c r="I352" s="89">
        <v>12011.197822652201</v>
      </c>
      <c r="J352" s="89">
        <v>0</v>
      </c>
      <c r="K352" s="89">
        <v>0</v>
      </c>
      <c r="L352" s="89">
        <v>0</v>
      </c>
      <c r="M352" s="89">
        <v>0</v>
      </c>
      <c r="N352" s="89"/>
      <c r="O352" s="89">
        <v>0</v>
      </c>
      <c r="P352" s="89">
        <v>0</v>
      </c>
      <c r="Q352" s="89">
        <v>0</v>
      </c>
      <c r="R352" s="89">
        <v>0</v>
      </c>
      <c r="S352" s="89">
        <v>12011.197822652201</v>
      </c>
      <c r="T352"/>
      <c r="U352" t="s">
        <v>129</v>
      </c>
      <c r="V352" t="s">
        <v>129</v>
      </c>
      <c r="Y352" t="s">
        <v>795</v>
      </c>
      <c r="Z352" t="s">
        <v>131</v>
      </c>
      <c r="AA352" s="90">
        <v>92707</v>
      </c>
      <c r="AB352" t="s">
        <v>810</v>
      </c>
      <c r="AC352" t="s">
        <v>0</v>
      </c>
      <c r="AD352" t="s">
        <v>143</v>
      </c>
    </row>
    <row r="353" spans="2:30" x14ac:dyDescent="0.25">
      <c r="B353">
        <v>104122</v>
      </c>
      <c r="C353" t="s">
        <v>811</v>
      </c>
      <c r="D353">
        <v>2016</v>
      </c>
      <c r="F353" s="89">
        <v>13124.945760000001</v>
      </c>
      <c r="G353" s="89" t="s">
        <v>128</v>
      </c>
      <c r="H353" s="89"/>
      <c r="I353" s="89">
        <v>13124.945760000001</v>
      </c>
      <c r="J353" s="89">
        <v>0</v>
      </c>
      <c r="K353" s="89">
        <v>0</v>
      </c>
      <c r="L353" s="89">
        <v>0</v>
      </c>
      <c r="M353" s="89">
        <v>0</v>
      </c>
      <c r="N353" s="89"/>
      <c r="O353" s="89">
        <v>13124.945760000001</v>
      </c>
      <c r="P353" s="89">
        <v>0</v>
      </c>
      <c r="Q353" s="89">
        <v>0</v>
      </c>
      <c r="R353" s="89">
        <v>13124.945760000001</v>
      </c>
      <c r="S353" s="89">
        <v>0</v>
      </c>
      <c r="T353"/>
      <c r="U353" t="s">
        <v>155</v>
      </c>
      <c r="V353" t="s">
        <v>155</v>
      </c>
      <c r="W353" t="s">
        <v>337</v>
      </c>
      <c r="Y353" t="s">
        <v>812</v>
      </c>
      <c r="Z353" t="s">
        <v>131</v>
      </c>
      <c r="AA353" s="90">
        <v>95988</v>
      </c>
      <c r="AB353" t="s">
        <v>506</v>
      </c>
      <c r="AC353" t="s">
        <v>151</v>
      </c>
      <c r="AD353" t="s">
        <v>143</v>
      </c>
    </row>
    <row r="354" spans="2:30" x14ac:dyDescent="0.25">
      <c r="B354">
        <v>104538</v>
      </c>
      <c r="C354" t="s">
        <v>813</v>
      </c>
      <c r="D354">
        <v>2016</v>
      </c>
      <c r="F354" s="89">
        <v>21327.433000000001</v>
      </c>
      <c r="G354" s="89" t="s">
        <v>128</v>
      </c>
      <c r="H354" s="89"/>
      <c r="I354" s="89">
        <v>21327.433000000001</v>
      </c>
      <c r="J354" s="89">
        <v>0</v>
      </c>
      <c r="K354" s="89">
        <v>0</v>
      </c>
      <c r="L354" s="89">
        <v>0</v>
      </c>
      <c r="M354" s="89">
        <v>0</v>
      </c>
      <c r="N354" s="89"/>
      <c r="O354" s="89">
        <v>0</v>
      </c>
      <c r="P354" s="89">
        <v>0</v>
      </c>
      <c r="Q354" s="89">
        <v>0</v>
      </c>
      <c r="R354" s="89">
        <v>0</v>
      </c>
      <c r="S354" s="89">
        <v>21327.433000000001</v>
      </c>
      <c r="T354"/>
      <c r="U354" t="s">
        <v>129</v>
      </c>
      <c r="V354" t="s">
        <v>129</v>
      </c>
      <c r="Y354" t="s">
        <v>814</v>
      </c>
      <c r="Z354" t="s">
        <v>131</v>
      </c>
      <c r="AA354" s="90">
        <v>93263</v>
      </c>
      <c r="AB354" t="s">
        <v>170</v>
      </c>
      <c r="AC354" t="s">
        <v>175</v>
      </c>
      <c r="AD354" t="s">
        <v>176</v>
      </c>
    </row>
    <row r="355" spans="2:30" x14ac:dyDescent="0.25">
      <c r="B355">
        <v>104004</v>
      </c>
      <c r="C355" t="s">
        <v>815</v>
      </c>
      <c r="D355">
        <v>2016</v>
      </c>
      <c r="F355" s="89">
        <v>6357.0719126690001</v>
      </c>
      <c r="G355" s="89" t="s">
        <v>128</v>
      </c>
      <c r="H355" s="89"/>
      <c r="I355" s="89">
        <v>6357.0719126690001</v>
      </c>
      <c r="J355" s="89">
        <v>0</v>
      </c>
      <c r="K355" s="89">
        <v>0</v>
      </c>
      <c r="L355" s="89">
        <v>0</v>
      </c>
      <c r="M355" s="89">
        <v>0</v>
      </c>
      <c r="N355" s="89"/>
      <c r="O355" s="89">
        <v>287.9184272</v>
      </c>
      <c r="P355" s="89">
        <v>0</v>
      </c>
      <c r="Q355" s="89">
        <v>0</v>
      </c>
      <c r="R355" s="89">
        <v>287.9184272</v>
      </c>
      <c r="S355" s="89">
        <v>6069.1534854689999</v>
      </c>
      <c r="T355"/>
      <c r="U355" t="s">
        <v>155</v>
      </c>
      <c r="V355" t="s">
        <v>155</v>
      </c>
      <c r="W355" t="s">
        <v>222</v>
      </c>
      <c r="Y355" t="s">
        <v>589</v>
      </c>
      <c r="Z355" t="s">
        <v>131</v>
      </c>
      <c r="AA355" s="90">
        <v>93627</v>
      </c>
      <c r="AB355" t="s">
        <v>816</v>
      </c>
      <c r="AC355" t="s">
        <v>817</v>
      </c>
      <c r="AD355" t="s">
        <v>143</v>
      </c>
    </row>
    <row r="356" spans="2:30" x14ac:dyDescent="0.25">
      <c r="B356">
        <v>104562</v>
      </c>
      <c r="C356" t="s">
        <v>818</v>
      </c>
      <c r="D356">
        <v>2016</v>
      </c>
      <c r="F356" s="89">
        <v>0</v>
      </c>
      <c r="G356" s="89" t="s">
        <v>128</v>
      </c>
      <c r="H356" s="89"/>
      <c r="I356" s="89">
        <v>0</v>
      </c>
      <c r="J356" s="89">
        <v>0</v>
      </c>
      <c r="K356" s="89">
        <v>0</v>
      </c>
      <c r="L356" s="89">
        <v>0</v>
      </c>
      <c r="M356" s="89">
        <v>0</v>
      </c>
      <c r="N356" s="89"/>
      <c r="O356" s="89">
        <v>0</v>
      </c>
      <c r="P356" s="89">
        <v>0</v>
      </c>
      <c r="Q356" s="89">
        <v>0</v>
      </c>
      <c r="R356" s="89">
        <v>0</v>
      </c>
      <c r="S356" s="89">
        <v>0</v>
      </c>
      <c r="T356"/>
      <c r="U356" t="s">
        <v>129</v>
      </c>
      <c r="V356" t="s">
        <v>129</v>
      </c>
      <c r="Y356" t="s">
        <v>357</v>
      </c>
      <c r="Z356" t="s">
        <v>131</v>
      </c>
      <c r="AA356" s="90">
        <v>95354</v>
      </c>
      <c r="AB356" t="s">
        <v>258</v>
      </c>
      <c r="AC356" t="s">
        <v>259</v>
      </c>
      <c r="AD356" t="s">
        <v>260</v>
      </c>
    </row>
    <row r="357" spans="2:30" x14ac:dyDescent="0.25">
      <c r="B357">
        <v>3011</v>
      </c>
      <c r="C357" t="s">
        <v>819</v>
      </c>
      <c r="D357">
        <v>2016</v>
      </c>
      <c r="F357" s="89">
        <v>0</v>
      </c>
      <c r="G357" s="89" t="s">
        <v>128</v>
      </c>
      <c r="H357" s="89"/>
      <c r="I357" s="89">
        <v>0</v>
      </c>
      <c r="J357" s="89">
        <v>0</v>
      </c>
      <c r="K357" s="89">
        <v>0</v>
      </c>
      <c r="L357" s="89">
        <v>0</v>
      </c>
      <c r="M357" s="89">
        <v>0</v>
      </c>
      <c r="N357" s="89"/>
      <c r="O357" s="89">
        <v>0</v>
      </c>
      <c r="P357" s="89">
        <v>0</v>
      </c>
      <c r="Q357" s="89">
        <v>0</v>
      </c>
      <c r="R357" s="89">
        <v>0</v>
      </c>
      <c r="S357" s="89">
        <v>0</v>
      </c>
      <c r="T357"/>
      <c r="U357" t="s">
        <v>129</v>
      </c>
      <c r="V357" t="s">
        <v>129</v>
      </c>
      <c r="Y357" t="s">
        <v>359</v>
      </c>
      <c r="Z357" t="s">
        <v>360</v>
      </c>
      <c r="AA357" s="90">
        <v>77056</v>
      </c>
      <c r="AB357" t="s">
        <v>158</v>
      </c>
      <c r="AC357" t="s">
        <v>136</v>
      </c>
      <c r="AD357" t="s">
        <v>137</v>
      </c>
    </row>
    <row r="358" spans="2:30" x14ac:dyDescent="0.25">
      <c r="B358">
        <v>104421</v>
      </c>
      <c r="C358" t="s">
        <v>820</v>
      </c>
      <c r="D358">
        <v>2016</v>
      </c>
      <c r="F358" s="89">
        <v>7513.4136544000003</v>
      </c>
      <c r="G358" s="89" t="s">
        <v>128</v>
      </c>
      <c r="H358" s="89"/>
      <c r="I358" s="89">
        <v>7513.4136544000003</v>
      </c>
      <c r="J358" s="89">
        <v>0</v>
      </c>
      <c r="K358" s="89">
        <v>0</v>
      </c>
      <c r="L358" s="89">
        <v>0</v>
      </c>
      <c r="M358" s="89">
        <v>0</v>
      </c>
      <c r="N358" s="89"/>
      <c r="O358" s="89">
        <v>0</v>
      </c>
      <c r="P358" s="89">
        <v>0</v>
      </c>
      <c r="Q358" s="89">
        <v>0</v>
      </c>
      <c r="R358" s="89">
        <v>0</v>
      </c>
      <c r="S358" s="89">
        <v>7513.4136544000003</v>
      </c>
      <c r="T358"/>
      <c r="U358" t="s">
        <v>129</v>
      </c>
      <c r="V358" t="s">
        <v>129</v>
      </c>
      <c r="Y358" t="s">
        <v>247</v>
      </c>
      <c r="Z358" t="s">
        <v>131</v>
      </c>
      <c r="AA358" s="90">
        <v>94565</v>
      </c>
      <c r="AB358" t="s">
        <v>512</v>
      </c>
      <c r="AC358" t="s">
        <v>0</v>
      </c>
      <c r="AD358" t="s">
        <v>143</v>
      </c>
    </row>
    <row r="359" spans="2:30" x14ac:dyDescent="0.25">
      <c r="B359">
        <v>104376</v>
      </c>
      <c r="C359" t="s">
        <v>821</v>
      </c>
      <c r="D359">
        <v>2016</v>
      </c>
      <c r="F359" s="89">
        <v>13189.092550400001</v>
      </c>
      <c r="G359" s="89" t="s">
        <v>128</v>
      </c>
      <c r="H359" s="89"/>
      <c r="I359" s="89">
        <v>13189.092550400001</v>
      </c>
      <c r="J359" s="89">
        <v>0</v>
      </c>
      <c r="K359" s="89">
        <v>0</v>
      </c>
      <c r="L359" s="89">
        <v>0</v>
      </c>
      <c r="M359" s="89">
        <v>0</v>
      </c>
      <c r="N359" s="89"/>
      <c r="O359" s="89">
        <v>0</v>
      </c>
      <c r="P359" s="89">
        <v>0</v>
      </c>
      <c r="Q359" s="89">
        <v>0</v>
      </c>
      <c r="R359" s="89">
        <v>0</v>
      </c>
      <c r="S359" s="89">
        <v>13189.092550400001</v>
      </c>
      <c r="T359"/>
      <c r="U359" t="s">
        <v>129</v>
      </c>
      <c r="V359" t="s">
        <v>129</v>
      </c>
      <c r="Y359" t="s">
        <v>320</v>
      </c>
      <c r="Z359" t="s">
        <v>131</v>
      </c>
      <c r="AA359" s="90">
        <v>90040</v>
      </c>
      <c r="AB359" t="s">
        <v>615</v>
      </c>
      <c r="AC359" t="s">
        <v>0</v>
      </c>
      <c r="AD359" t="s">
        <v>143</v>
      </c>
    </row>
    <row r="360" spans="2:30" x14ac:dyDescent="0.25">
      <c r="B360">
        <v>104355</v>
      </c>
      <c r="C360" t="s">
        <v>822</v>
      </c>
      <c r="D360">
        <v>2016</v>
      </c>
      <c r="F360" s="89">
        <v>16550.821631999999</v>
      </c>
      <c r="G360" s="89" t="s">
        <v>128</v>
      </c>
      <c r="H360" s="89"/>
      <c r="I360" s="89">
        <v>16550.821631999999</v>
      </c>
      <c r="J360" s="89">
        <v>0</v>
      </c>
      <c r="K360" s="89">
        <v>0</v>
      </c>
      <c r="L360" s="89">
        <v>0</v>
      </c>
      <c r="M360" s="89">
        <v>0</v>
      </c>
      <c r="N360" s="89"/>
      <c r="O360" s="89">
        <v>0</v>
      </c>
      <c r="P360" s="89">
        <v>0</v>
      </c>
      <c r="Q360" s="89">
        <v>0</v>
      </c>
      <c r="R360" s="89">
        <v>0</v>
      </c>
      <c r="S360" s="89">
        <v>16550.821631999999</v>
      </c>
      <c r="T360"/>
      <c r="U360" t="s">
        <v>129</v>
      </c>
      <c r="V360" t="s">
        <v>129</v>
      </c>
      <c r="Y360" t="s">
        <v>403</v>
      </c>
      <c r="Z360" t="s">
        <v>131</v>
      </c>
      <c r="AA360" s="90">
        <v>93291</v>
      </c>
      <c r="AB360" t="s">
        <v>500</v>
      </c>
      <c r="AC360" t="s">
        <v>0</v>
      </c>
      <c r="AD360" t="s">
        <v>143</v>
      </c>
    </row>
    <row r="361" spans="2:30" x14ac:dyDescent="0.25">
      <c r="B361">
        <v>100202</v>
      </c>
      <c r="C361" t="s">
        <v>823</v>
      </c>
      <c r="D361">
        <v>2016</v>
      </c>
      <c r="F361" s="89">
        <v>21023.410732158201</v>
      </c>
      <c r="G361" s="89" t="s">
        <v>128</v>
      </c>
      <c r="H361" s="89"/>
      <c r="I361" s="89">
        <v>21023.410732158201</v>
      </c>
      <c r="J361" s="89">
        <v>0</v>
      </c>
      <c r="K361" s="89">
        <v>0</v>
      </c>
      <c r="L361" s="89">
        <v>0</v>
      </c>
      <c r="M361" s="89">
        <v>0</v>
      </c>
      <c r="N361" s="89"/>
      <c r="O361" s="89">
        <v>0</v>
      </c>
      <c r="P361" s="89">
        <v>0</v>
      </c>
      <c r="Q361" s="89">
        <v>0</v>
      </c>
      <c r="R361" s="89">
        <v>0</v>
      </c>
      <c r="S361" s="89">
        <v>21023.410732158201</v>
      </c>
      <c r="T361"/>
      <c r="U361" t="s">
        <v>155</v>
      </c>
      <c r="V361" t="s">
        <v>129</v>
      </c>
      <c r="W361" t="s">
        <v>277</v>
      </c>
      <c r="Y361" t="s">
        <v>178</v>
      </c>
      <c r="Z361" t="s">
        <v>131</v>
      </c>
      <c r="AA361" s="90">
        <v>93308</v>
      </c>
      <c r="AB361" t="s">
        <v>132</v>
      </c>
      <c r="AC361" t="s">
        <v>0</v>
      </c>
      <c r="AD361" t="s">
        <v>140</v>
      </c>
    </row>
    <row r="362" spans="2:30" x14ac:dyDescent="0.25">
      <c r="B362">
        <v>5044</v>
      </c>
      <c r="C362" t="s">
        <v>824</v>
      </c>
      <c r="D362">
        <v>2016</v>
      </c>
      <c r="F362" s="89">
        <v>39605.935296000003</v>
      </c>
      <c r="G362" s="89" t="s">
        <v>128</v>
      </c>
      <c r="H362" s="89"/>
      <c r="I362" s="89">
        <v>0</v>
      </c>
      <c r="J362" s="89">
        <v>0</v>
      </c>
      <c r="K362" s="89">
        <v>39605.935296000003</v>
      </c>
      <c r="L362" s="89">
        <v>0</v>
      </c>
      <c r="M362" s="89">
        <v>0</v>
      </c>
      <c r="N362" s="89"/>
      <c r="O362" s="89">
        <v>0</v>
      </c>
      <c r="P362" s="89">
        <v>0</v>
      </c>
      <c r="Q362" s="89">
        <v>0</v>
      </c>
      <c r="R362" s="89">
        <v>0</v>
      </c>
      <c r="S362" s="89">
        <v>39605.935296000003</v>
      </c>
      <c r="T362"/>
      <c r="U362" t="s">
        <v>155</v>
      </c>
      <c r="V362" t="s">
        <v>129</v>
      </c>
      <c r="W362" t="s">
        <v>277</v>
      </c>
      <c r="Y362" t="s">
        <v>178</v>
      </c>
      <c r="Z362" t="s">
        <v>131</v>
      </c>
      <c r="AA362" s="90">
        <v>93308</v>
      </c>
      <c r="AB362" t="s">
        <v>451</v>
      </c>
      <c r="AC362" t="s">
        <v>259</v>
      </c>
      <c r="AD362" t="s">
        <v>260</v>
      </c>
    </row>
    <row r="363" spans="2:30" x14ac:dyDescent="0.25">
      <c r="B363">
        <v>104498</v>
      </c>
      <c r="C363" t="s">
        <v>825</v>
      </c>
      <c r="D363">
        <v>2016</v>
      </c>
      <c r="F363" s="89">
        <v>2577388.1496339999</v>
      </c>
      <c r="G363" s="89" t="s">
        <v>128</v>
      </c>
      <c r="H363" s="89"/>
      <c r="I363" s="89">
        <v>0</v>
      </c>
      <c r="J363" s="89">
        <v>0</v>
      </c>
      <c r="K363" s="89">
        <v>2386339.1156339999</v>
      </c>
      <c r="L363" s="89">
        <v>191049.033999999</v>
      </c>
      <c r="M363" s="89">
        <v>0</v>
      </c>
      <c r="N363" s="89"/>
      <c r="O363" s="89">
        <v>0</v>
      </c>
      <c r="P363" s="89">
        <v>2386339.1156339999</v>
      </c>
      <c r="Q363" s="89">
        <v>0</v>
      </c>
      <c r="R363" s="89">
        <v>2386339.1156339999</v>
      </c>
      <c r="S363" s="89">
        <v>191049.033999999</v>
      </c>
      <c r="T363"/>
      <c r="U363" t="s">
        <v>155</v>
      </c>
      <c r="V363" t="s">
        <v>129</v>
      </c>
      <c r="W363" t="s">
        <v>232</v>
      </c>
      <c r="Y363" t="s">
        <v>178</v>
      </c>
      <c r="Z363" t="s">
        <v>131</v>
      </c>
      <c r="AA363" s="90">
        <v>93307</v>
      </c>
      <c r="AB363" t="s">
        <v>229</v>
      </c>
      <c r="AC363" t="s">
        <v>147</v>
      </c>
      <c r="AD363" t="s">
        <v>148</v>
      </c>
    </row>
    <row r="364" spans="2:30" x14ac:dyDescent="0.25">
      <c r="B364">
        <v>101507</v>
      </c>
      <c r="C364" t="s">
        <v>826</v>
      </c>
      <c r="D364">
        <v>2016</v>
      </c>
      <c r="F364" s="89">
        <v>134415.834752747</v>
      </c>
      <c r="G364" s="89" t="s">
        <v>128</v>
      </c>
      <c r="H364" s="89"/>
      <c r="I364" s="89">
        <v>132352.93475274701</v>
      </c>
      <c r="J364" s="89">
        <v>2062.9</v>
      </c>
      <c r="K364" s="89">
        <v>0</v>
      </c>
      <c r="L364" s="89">
        <v>0</v>
      </c>
      <c r="M364" s="89">
        <v>0</v>
      </c>
      <c r="N364" s="89"/>
      <c r="O364" s="89">
        <v>131987.19519462599</v>
      </c>
      <c r="P364" s="89">
        <v>0</v>
      </c>
      <c r="Q364" s="89">
        <v>0</v>
      </c>
      <c r="R364" s="89">
        <v>131987.19519462599</v>
      </c>
      <c r="S364" s="89">
        <v>2428.6395581209999</v>
      </c>
      <c r="T364"/>
      <c r="U364" t="s">
        <v>210</v>
      </c>
      <c r="V364" t="s">
        <v>155</v>
      </c>
      <c r="W364" t="s">
        <v>232</v>
      </c>
      <c r="Y364" t="s">
        <v>178</v>
      </c>
      <c r="Z364" t="s">
        <v>131</v>
      </c>
      <c r="AA364" s="90">
        <v>93307</v>
      </c>
      <c r="AB364" t="s">
        <v>229</v>
      </c>
      <c r="AC364" t="s">
        <v>742</v>
      </c>
      <c r="AD364" t="s">
        <v>230</v>
      </c>
    </row>
    <row r="365" spans="2:30" x14ac:dyDescent="0.25">
      <c r="B365">
        <v>101514</v>
      </c>
      <c r="C365" t="s">
        <v>827</v>
      </c>
      <c r="D365">
        <v>2016</v>
      </c>
      <c r="F365" s="89">
        <v>439148.013200349</v>
      </c>
      <c r="G365" s="89" t="s">
        <v>128</v>
      </c>
      <c r="H365" s="89"/>
      <c r="I365" s="89">
        <v>439148.013200349</v>
      </c>
      <c r="J365" s="89">
        <v>0</v>
      </c>
      <c r="K365" s="89">
        <v>0</v>
      </c>
      <c r="L365" s="89">
        <v>0</v>
      </c>
      <c r="M365" s="89">
        <v>0</v>
      </c>
      <c r="N365" s="89"/>
      <c r="O365" s="89">
        <v>439148.013200349</v>
      </c>
      <c r="P365" s="89">
        <v>0</v>
      </c>
      <c r="Q365" s="89">
        <v>0</v>
      </c>
      <c r="R365" s="89">
        <v>439148.013200349</v>
      </c>
      <c r="S365" s="89">
        <v>0</v>
      </c>
      <c r="T365"/>
      <c r="U365" t="s">
        <v>155</v>
      </c>
      <c r="V365" t="s">
        <v>129</v>
      </c>
      <c r="W365" t="s">
        <v>368</v>
      </c>
      <c r="Y365" t="s">
        <v>178</v>
      </c>
      <c r="Z365" t="s">
        <v>131</v>
      </c>
      <c r="AA365" s="90">
        <v>93308</v>
      </c>
      <c r="AB365" t="s">
        <v>132</v>
      </c>
      <c r="AC365" t="s">
        <v>0</v>
      </c>
      <c r="AD365" t="s">
        <v>133</v>
      </c>
    </row>
    <row r="366" spans="2:30" x14ac:dyDescent="0.25">
      <c r="B366">
        <v>5017</v>
      </c>
      <c r="C366" t="s">
        <v>828</v>
      </c>
      <c r="D366">
        <v>2016</v>
      </c>
      <c r="F366" s="89">
        <v>0</v>
      </c>
      <c r="G366" s="89" t="s">
        <v>128</v>
      </c>
      <c r="H366" s="89"/>
      <c r="I366" s="89">
        <v>0</v>
      </c>
      <c r="J366" s="89">
        <v>0</v>
      </c>
      <c r="K366" s="89">
        <v>0</v>
      </c>
      <c r="L366" s="89">
        <v>0</v>
      </c>
      <c r="M366" s="89">
        <v>0</v>
      </c>
      <c r="N366" s="89"/>
      <c r="O366" s="89">
        <v>0</v>
      </c>
      <c r="P366" s="89">
        <v>0</v>
      </c>
      <c r="Q366" s="89">
        <v>0</v>
      </c>
      <c r="R366" s="89">
        <v>0</v>
      </c>
      <c r="S366" s="89">
        <v>0</v>
      </c>
      <c r="T366"/>
      <c r="U366" t="s">
        <v>129</v>
      </c>
      <c r="V366" t="s">
        <v>129</v>
      </c>
      <c r="Y366" t="s">
        <v>829</v>
      </c>
      <c r="Z366" t="s">
        <v>830</v>
      </c>
      <c r="AA366" s="90">
        <v>90120</v>
      </c>
      <c r="AB366" t="s">
        <v>451</v>
      </c>
      <c r="AC366" t="s">
        <v>259</v>
      </c>
      <c r="AD366" t="s">
        <v>260</v>
      </c>
    </row>
    <row r="367" spans="2:30" x14ac:dyDescent="0.25">
      <c r="B367">
        <v>100199</v>
      </c>
      <c r="C367" t="s">
        <v>831</v>
      </c>
      <c r="D367">
        <v>2016</v>
      </c>
      <c r="F367" s="89">
        <v>14685.0224</v>
      </c>
      <c r="G367" s="89" t="s">
        <v>128</v>
      </c>
      <c r="H367" s="89"/>
      <c r="I367" s="89">
        <v>14685.0224</v>
      </c>
      <c r="J367" s="89">
        <v>0</v>
      </c>
      <c r="K367" s="89">
        <v>0</v>
      </c>
      <c r="L367" s="89">
        <v>0</v>
      </c>
      <c r="M367" s="89">
        <v>0</v>
      </c>
      <c r="N367" s="89"/>
      <c r="O367" s="89">
        <v>14685.0224</v>
      </c>
      <c r="P367" s="89">
        <v>0</v>
      </c>
      <c r="Q367" s="89">
        <v>0</v>
      </c>
      <c r="R367" s="89">
        <v>14685.0224</v>
      </c>
      <c r="S367" s="89">
        <v>0</v>
      </c>
      <c r="T367"/>
      <c r="U367" t="s">
        <v>155</v>
      </c>
      <c r="V367" t="s">
        <v>129</v>
      </c>
      <c r="W367" t="s">
        <v>222</v>
      </c>
      <c r="Y367" t="s">
        <v>746</v>
      </c>
      <c r="Z367" t="s">
        <v>131</v>
      </c>
      <c r="AA367" s="90">
        <v>93631</v>
      </c>
      <c r="AB367" t="s">
        <v>132</v>
      </c>
      <c r="AC367" t="s">
        <v>0</v>
      </c>
      <c r="AD367" t="s">
        <v>133</v>
      </c>
    </row>
    <row r="368" spans="2:30" x14ac:dyDescent="0.25">
      <c r="B368">
        <v>101100</v>
      </c>
      <c r="C368" t="s">
        <v>832</v>
      </c>
      <c r="D368">
        <v>2016</v>
      </c>
      <c r="F368" s="89">
        <v>103480.18950435201</v>
      </c>
      <c r="G368" s="89" t="s">
        <v>128</v>
      </c>
      <c r="H368" s="89"/>
      <c r="I368" s="89">
        <v>519.08950435292502</v>
      </c>
      <c r="J368" s="89">
        <v>102961.1</v>
      </c>
      <c r="K368" s="89">
        <v>0</v>
      </c>
      <c r="L368" s="89">
        <v>0</v>
      </c>
      <c r="M368" s="89">
        <v>0</v>
      </c>
      <c r="N368" s="89"/>
      <c r="O368" s="89">
        <v>0</v>
      </c>
      <c r="P368" s="89">
        <v>0</v>
      </c>
      <c r="Q368" s="89">
        <v>0</v>
      </c>
      <c r="R368" s="89">
        <v>0</v>
      </c>
      <c r="S368" s="89">
        <v>103480.18950435201</v>
      </c>
      <c r="T368"/>
      <c r="U368" t="s">
        <v>155</v>
      </c>
      <c r="V368" t="s">
        <v>129</v>
      </c>
      <c r="W368" t="s">
        <v>156</v>
      </c>
      <c r="Y368" t="s">
        <v>833</v>
      </c>
      <c r="Z368" t="s">
        <v>131</v>
      </c>
      <c r="AA368" s="90">
        <v>95683</v>
      </c>
      <c r="AB368" t="s">
        <v>723</v>
      </c>
      <c r="AC368" t="s">
        <v>0</v>
      </c>
      <c r="AD368" t="s">
        <v>140</v>
      </c>
    </row>
    <row r="369" spans="2:30" x14ac:dyDescent="0.25">
      <c r="B369">
        <v>100962</v>
      </c>
      <c r="C369" t="s">
        <v>834</v>
      </c>
      <c r="D369">
        <v>2016</v>
      </c>
      <c r="F369" s="89">
        <v>60551.256515200002</v>
      </c>
      <c r="G369" s="89" t="s">
        <v>128</v>
      </c>
      <c r="H369" s="89"/>
      <c r="I369" s="89">
        <v>60551.256515200002</v>
      </c>
      <c r="J369" s="89">
        <v>0</v>
      </c>
      <c r="K369" s="89">
        <v>0</v>
      </c>
      <c r="L369" s="89">
        <v>0</v>
      </c>
      <c r="M369" s="89">
        <v>0</v>
      </c>
      <c r="N369" s="89"/>
      <c r="O369" s="89">
        <v>60551.256515200002</v>
      </c>
      <c r="P369" s="89">
        <v>0</v>
      </c>
      <c r="Q369" s="89">
        <v>0</v>
      </c>
      <c r="R369" s="89">
        <v>60551.256515200002</v>
      </c>
      <c r="S369" s="89">
        <v>0</v>
      </c>
      <c r="T369"/>
      <c r="U369" t="s">
        <v>155</v>
      </c>
      <c r="V369" t="s">
        <v>155</v>
      </c>
      <c r="W369" t="s">
        <v>292</v>
      </c>
      <c r="Y369" t="s">
        <v>435</v>
      </c>
      <c r="Z369" t="s">
        <v>131</v>
      </c>
      <c r="AA369" s="90">
        <v>92831</v>
      </c>
      <c r="AB369" t="s">
        <v>835</v>
      </c>
      <c r="AC369" t="s">
        <v>0</v>
      </c>
      <c r="AD369" t="s">
        <v>143</v>
      </c>
    </row>
    <row r="370" spans="2:30" x14ac:dyDescent="0.25">
      <c r="B370">
        <v>104047</v>
      </c>
      <c r="C370" t="s">
        <v>836</v>
      </c>
      <c r="D370">
        <v>2016</v>
      </c>
      <c r="F370" s="89">
        <v>127168.350375785</v>
      </c>
      <c r="G370" s="89" t="s">
        <v>128</v>
      </c>
      <c r="H370" s="89"/>
      <c r="I370" s="89">
        <v>0</v>
      </c>
      <c r="J370" s="89">
        <v>0</v>
      </c>
      <c r="K370" s="89">
        <v>4627.9004757856701</v>
      </c>
      <c r="L370" s="89">
        <v>122540.44990000001</v>
      </c>
      <c r="M370" s="89">
        <v>0</v>
      </c>
      <c r="N370" s="89"/>
      <c r="O370" s="89">
        <v>0</v>
      </c>
      <c r="P370" s="89">
        <v>0</v>
      </c>
      <c r="Q370" s="89">
        <v>0</v>
      </c>
      <c r="R370" s="89">
        <v>0</v>
      </c>
      <c r="S370" s="89">
        <v>127168.350375785</v>
      </c>
      <c r="T370"/>
      <c r="U370" t="s">
        <v>155</v>
      </c>
      <c r="V370" t="s">
        <v>129</v>
      </c>
      <c r="W370" t="s">
        <v>215</v>
      </c>
      <c r="Y370" t="s">
        <v>134</v>
      </c>
      <c r="Z370" t="s">
        <v>131</v>
      </c>
      <c r="AA370" s="90">
        <v>95814</v>
      </c>
      <c r="AB370" t="s">
        <v>146</v>
      </c>
      <c r="AC370" t="s">
        <v>147</v>
      </c>
      <c r="AD370" t="s">
        <v>148</v>
      </c>
    </row>
    <row r="371" spans="2:30" x14ac:dyDescent="0.25">
      <c r="B371">
        <v>104425</v>
      </c>
      <c r="C371" t="s">
        <v>837</v>
      </c>
      <c r="D371">
        <v>2016</v>
      </c>
      <c r="F371" s="89">
        <v>7858.049002576</v>
      </c>
      <c r="G371" s="89" t="s">
        <v>128</v>
      </c>
      <c r="H371" s="89"/>
      <c r="I371" s="89">
        <v>7858.049002576</v>
      </c>
      <c r="J371" s="89">
        <v>0</v>
      </c>
      <c r="K371" s="89">
        <v>0</v>
      </c>
      <c r="L371" s="89">
        <v>0</v>
      </c>
      <c r="M371" s="89">
        <v>0</v>
      </c>
      <c r="N371" s="89"/>
      <c r="O371" s="89">
        <v>0</v>
      </c>
      <c r="P371" s="89">
        <v>0</v>
      </c>
      <c r="Q371" s="89">
        <v>0</v>
      </c>
      <c r="R371" s="89">
        <v>0</v>
      </c>
      <c r="S371" s="89">
        <v>7858.049002576</v>
      </c>
      <c r="T371"/>
      <c r="U371" t="s">
        <v>129</v>
      </c>
      <c r="V371" t="s">
        <v>129</v>
      </c>
      <c r="Y371" t="s">
        <v>838</v>
      </c>
      <c r="Z371" t="s">
        <v>131</v>
      </c>
      <c r="AA371" s="90">
        <v>94585</v>
      </c>
      <c r="AB371" t="s">
        <v>451</v>
      </c>
      <c r="AC371" t="s">
        <v>175</v>
      </c>
      <c r="AD371" t="s">
        <v>176</v>
      </c>
    </row>
    <row r="372" spans="2:30" x14ac:dyDescent="0.25">
      <c r="B372">
        <v>3001</v>
      </c>
      <c r="C372" t="s">
        <v>839</v>
      </c>
      <c r="D372">
        <v>2016</v>
      </c>
      <c r="F372" s="89">
        <v>0</v>
      </c>
      <c r="G372" s="89" t="s">
        <v>128</v>
      </c>
      <c r="H372" s="89"/>
      <c r="I372" s="89">
        <v>0</v>
      </c>
      <c r="J372" s="89">
        <v>0</v>
      </c>
      <c r="K372" s="89">
        <v>0</v>
      </c>
      <c r="L372" s="89">
        <v>0</v>
      </c>
      <c r="M372" s="89">
        <v>0</v>
      </c>
      <c r="N372" s="89"/>
      <c r="O372" s="89">
        <v>0</v>
      </c>
      <c r="P372" s="89">
        <v>0</v>
      </c>
      <c r="Q372" s="89">
        <v>0</v>
      </c>
      <c r="R372" s="89">
        <v>0</v>
      </c>
      <c r="S372" s="89">
        <v>0</v>
      </c>
      <c r="T372"/>
      <c r="U372" t="s">
        <v>129</v>
      </c>
      <c r="V372" t="s">
        <v>129</v>
      </c>
      <c r="Y372" t="s">
        <v>840</v>
      </c>
      <c r="Z372" t="s">
        <v>131</v>
      </c>
      <c r="AA372" s="90">
        <v>95646</v>
      </c>
      <c r="AB372" t="s">
        <v>158</v>
      </c>
      <c r="AC372" t="s">
        <v>136</v>
      </c>
      <c r="AD372" t="s">
        <v>137</v>
      </c>
    </row>
    <row r="373" spans="2:30" x14ac:dyDescent="0.25">
      <c r="B373">
        <v>101447</v>
      </c>
      <c r="C373" t="s">
        <v>841</v>
      </c>
      <c r="D373">
        <v>2016</v>
      </c>
      <c r="F373" s="89">
        <v>23426.020004800001</v>
      </c>
      <c r="G373" s="89" t="s">
        <v>128</v>
      </c>
      <c r="H373" s="89"/>
      <c r="I373" s="89">
        <v>23426.020004800001</v>
      </c>
      <c r="J373" s="89">
        <v>0</v>
      </c>
      <c r="K373" s="89">
        <v>0</v>
      </c>
      <c r="L373" s="89">
        <v>0</v>
      </c>
      <c r="M373" s="89">
        <v>0</v>
      </c>
      <c r="N373" s="89"/>
      <c r="O373" s="89">
        <v>0</v>
      </c>
      <c r="P373" s="89">
        <v>0</v>
      </c>
      <c r="Q373" s="89">
        <v>0</v>
      </c>
      <c r="R373" s="89">
        <v>0</v>
      </c>
      <c r="S373" s="89">
        <v>23426.020004800001</v>
      </c>
      <c r="T373"/>
      <c r="U373" t="s">
        <v>129</v>
      </c>
      <c r="V373" t="s">
        <v>129</v>
      </c>
      <c r="Y373" t="s">
        <v>558</v>
      </c>
      <c r="Z373" t="s">
        <v>131</v>
      </c>
      <c r="AA373" s="90">
        <v>96019</v>
      </c>
      <c r="AB373" t="s">
        <v>506</v>
      </c>
      <c r="AC373" t="s">
        <v>151</v>
      </c>
      <c r="AD373" t="s">
        <v>143</v>
      </c>
    </row>
    <row r="374" spans="2:30" x14ac:dyDescent="0.25">
      <c r="B374">
        <v>104354</v>
      </c>
      <c r="C374" t="s">
        <v>842</v>
      </c>
      <c r="D374">
        <v>2016</v>
      </c>
      <c r="F374" s="89">
        <v>21264.570528</v>
      </c>
      <c r="G374" s="89" t="s">
        <v>128</v>
      </c>
      <c r="H374" s="89"/>
      <c r="I374" s="89">
        <v>21264.570528</v>
      </c>
      <c r="J374" s="89">
        <v>0</v>
      </c>
      <c r="K374" s="89">
        <v>0</v>
      </c>
      <c r="L374" s="89">
        <v>0</v>
      </c>
      <c r="M374" s="89">
        <v>0</v>
      </c>
      <c r="N374" s="89"/>
      <c r="O374" s="89">
        <v>0</v>
      </c>
      <c r="P374" s="89">
        <v>0</v>
      </c>
      <c r="Q374" s="89">
        <v>0</v>
      </c>
      <c r="R374" s="89">
        <v>0</v>
      </c>
      <c r="S374" s="89">
        <v>21264.570528</v>
      </c>
      <c r="T374"/>
      <c r="U374" t="s">
        <v>129</v>
      </c>
      <c r="V374" t="s">
        <v>129</v>
      </c>
      <c r="Y374" t="s">
        <v>843</v>
      </c>
      <c r="Z374" t="s">
        <v>131</v>
      </c>
      <c r="AA374" s="90">
        <v>93274</v>
      </c>
      <c r="AB374" t="s">
        <v>768</v>
      </c>
      <c r="AC374" t="s">
        <v>0</v>
      </c>
      <c r="AD374" t="s">
        <v>143</v>
      </c>
    </row>
    <row r="375" spans="2:30" x14ac:dyDescent="0.25">
      <c r="B375">
        <v>100205</v>
      </c>
      <c r="C375" t="s">
        <v>844</v>
      </c>
      <c r="D375">
        <v>2016</v>
      </c>
      <c r="F375" s="89">
        <v>5024.7932736000002</v>
      </c>
      <c r="G375" s="89" t="s">
        <v>128</v>
      </c>
      <c r="H375" s="89"/>
      <c r="I375" s="89">
        <v>5024.7932736000002</v>
      </c>
      <c r="J375" s="89">
        <v>0</v>
      </c>
      <c r="K375" s="89">
        <v>0</v>
      </c>
      <c r="L375" s="89">
        <v>0</v>
      </c>
      <c r="M375" s="89">
        <v>0</v>
      </c>
      <c r="N375" s="89"/>
      <c r="O375" s="89">
        <v>0</v>
      </c>
      <c r="P375" s="89">
        <v>0</v>
      </c>
      <c r="Q375" s="89">
        <v>0</v>
      </c>
      <c r="R375" s="89">
        <v>0</v>
      </c>
      <c r="S375" s="89">
        <v>5024.7932736000002</v>
      </c>
      <c r="T375"/>
      <c r="U375" t="s">
        <v>129</v>
      </c>
      <c r="V375" t="s">
        <v>129</v>
      </c>
      <c r="Y375" t="s">
        <v>283</v>
      </c>
      <c r="Z375" t="s">
        <v>131</v>
      </c>
      <c r="AA375" s="90">
        <v>92123</v>
      </c>
      <c r="AB375" t="s">
        <v>845</v>
      </c>
      <c r="AC375" t="s">
        <v>0</v>
      </c>
      <c r="AD375" t="s">
        <v>143</v>
      </c>
    </row>
    <row r="376" spans="2:30" x14ac:dyDescent="0.25">
      <c r="B376">
        <v>100339</v>
      </c>
      <c r="C376" t="s">
        <v>846</v>
      </c>
      <c r="D376">
        <v>2016</v>
      </c>
      <c r="F376" s="89">
        <v>1658428.2466559999</v>
      </c>
      <c r="G376" s="89" t="s">
        <v>128</v>
      </c>
      <c r="H376" s="89"/>
      <c r="I376" s="89">
        <v>1658428.2466559999</v>
      </c>
      <c r="J376" s="89">
        <v>0</v>
      </c>
      <c r="K376" s="89">
        <v>0</v>
      </c>
      <c r="L376" s="89">
        <v>0</v>
      </c>
      <c r="M376" s="89">
        <v>0</v>
      </c>
      <c r="N376" s="89"/>
      <c r="O376" s="89">
        <v>1658428.2466559999</v>
      </c>
      <c r="P376" s="89">
        <v>0</v>
      </c>
      <c r="Q376" s="89">
        <v>0</v>
      </c>
      <c r="R376" s="89">
        <v>1658428.2466559999</v>
      </c>
      <c r="S376" s="89">
        <v>0</v>
      </c>
      <c r="T376"/>
      <c r="U376" t="s">
        <v>155</v>
      </c>
      <c r="V376" t="s">
        <v>129</v>
      </c>
      <c r="W376" t="s">
        <v>565</v>
      </c>
      <c r="Y376" t="s">
        <v>169</v>
      </c>
      <c r="Z376" t="s">
        <v>131</v>
      </c>
      <c r="AA376" s="90">
        <v>93251</v>
      </c>
      <c r="AB376" t="s">
        <v>132</v>
      </c>
      <c r="AC376" t="s">
        <v>0</v>
      </c>
      <c r="AD376" t="s">
        <v>140</v>
      </c>
    </row>
    <row r="377" spans="2:30" x14ac:dyDescent="0.25">
      <c r="B377">
        <v>104211</v>
      </c>
      <c r="C377" t="s">
        <v>847</v>
      </c>
      <c r="D377">
        <v>2016</v>
      </c>
      <c r="F377" s="89">
        <v>1133444.1195495001</v>
      </c>
      <c r="G377" s="89" t="s">
        <v>128</v>
      </c>
      <c r="H377" s="89"/>
      <c r="I377" s="89">
        <v>0</v>
      </c>
      <c r="J377" s="89">
        <v>0</v>
      </c>
      <c r="K377" s="89">
        <v>0</v>
      </c>
      <c r="L377" s="89">
        <v>0</v>
      </c>
      <c r="M377" s="89">
        <v>1133444.1195495001</v>
      </c>
      <c r="N377" s="89"/>
      <c r="O377" s="89">
        <v>0</v>
      </c>
      <c r="P377" s="89">
        <v>0</v>
      </c>
      <c r="Q377" s="89">
        <v>1133444.1195495001</v>
      </c>
      <c r="R377" s="89">
        <v>1133444.1195495001</v>
      </c>
      <c r="S377" s="89">
        <v>0</v>
      </c>
      <c r="T377"/>
      <c r="U377" t="s">
        <v>155</v>
      </c>
      <c r="V377" t="s">
        <v>129</v>
      </c>
      <c r="W377" t="s">
        <v>215</v>
      </c>
      <c r="Y377" t="s">
        <v>848</v>
      </c>
      <c r="Z377" t="s">
        <v>131</v>
      </c>
      <c r="AA377" s="90">
        <v>21610</v>
      </c>
      <c r="AB377" t="s">
        <v>158</v>
      </c>
      <c r="AC377" t="s">
        <v>136</v>
      </c>
      <c r="AD377" t="s">
        <v>137</v>
      </c>
    </row>
    <row r="378" spans="2:30" x14ac:dyDescent="0.25">
      <c r="B378">
        <v>104569</v>
      </c>
      <c r="C378" t="s">
        <v>849</v>
      </c>
      <c r="D378">
        <v>2016</v>
      </c>
      <c r="F378" s="89">
        <v>23466.379206400001</v>
      </c>
      <c r="G378" s="89" t="s">
        <v>128</v>
      </c>
      <c r="H378" s="89"/>
      <c r="I378" s="89">
        <v>23466.379206400001</v>
      </c>
      <c r="J378" s="89">
        <v>0</v>
      </c>
      <c r="K378" s="89">
        <v>0</v>
      </c>
      <c r="L378" s="89">
        <v>0</v>
      </c>
      <c r="M378" s="89">
        <v>0</v>
      </c>
      <c r="N378" s="89"/>
      <c r="O378" s="89">
        <v>0</v>
      </c>
      <c r="P378" s="89">
        <v>0</v>
      </c>
      <c r="Q378" s="89">
        <v>0</v>
      </c>
      <c r="R378" s="89">
        <v>0</v>
      </c>
      <c r="S378" s="89">
        <v>23466.379206400001</v>
      </c>
      <c r="T378"/>
      <c r="U378" t="s">
        <v>129</v>
      </c>
      <c r="V378" t="s">
        <v>129</v>
      </c>
      <c r="Y378" t="s">
        <v>320</v>
      </c>
      <c r="Z378" t="s">
        <v>131</v>
      </c>
      <c r="AA378" s="90">
        <v>90033</v>
      </c>
      <c r="AB378" t="s">
        <v>500</v>
      </c>
      <c r="AC378" t="s">
        <v>0</v>
      </c>
      <c r="AD378" t="s">
        <v>143</v>
      </c>
    </row>
    <row r="379" spans="2:30" x14ac:dyDescent="0.25">
      <c r="B379">
        <v>101327</v>
      </c>
      <c r="C379" t="s">
        <v>850</v>
      </c>
      <c r="D379">
        <v>2016</v>
      </c>
      <c r="F379" s="89">
        <v>27944.473351798199</v>
      </c>
      <c r="G379" s="89" t="s">
        <v>128</v>
      </c>
      <c r="H379" s="89"/>
      <c r="I379" s="89">
        <v>140.47335179825001</v>
      </c>
      <c r="J379" s="89">
        <v>27804</v>
      </c>
      <c r="K379" s="89">
        <v>0</v>
      </c>
      <c r="L379" s="89">
        <v>0</v>
      </c>
      <c r="M379" s="89">
        <v>0</v>
      </c>
      <c r="N379" s="89"/>
      <c r="O379" s="89">
        <v>0</v>
      </c>
      <c r="P379" s="89">
        <v>0</v>
      </c>
      <c r="Q379" s="89">
        <v>0</v>
      </c>
      <c r="R379" s="89">
        <v>0</v>
      </c>
      <c r="S379" s="89">
        <v>27944.473351798199</v>
      </c>
      <c r="T379"/>
      <c r="U379" t="s">
        <v>155</v>
      </c>
      <c r="V379" t="s">
        <v>129</v>
      </c>
      <c r="W379" t="s">
        <v>364</v>
      </c>
      <c r="Y379" t="s">
        <v>851</v>
      </c>
      <c r="Z379" t="s">
        <v>131</v>
      </c>
      <c r="AA379" s="90">
        <v>91301</v>
      </c>
      <c r="AB379" t="s">
        <v>723</v>
      </c>
      <c r="AC379" t="s">
        <v>0</v>
      </c>
      <c r="AD379" t="s">
        <v>140</v>
      </c>
    </row>
    <row r="380" spans="2:30" x14ac:dyDescent="0.25">
      <c r="B380">
        <v>100064</v>
      </c>
      <c r="C380" t="s">
        <v>852</v>
      </c>
      <c r="D380">
        <v>2016</v>
      </c>
      <c r="F380" s="89">
        <v>121458.969600996</v>
      </c>
      <c r="G380" s="89" t="s">
        <v>128</v>
      </c>
      <c r="H380" s="89"/>
      <c r="I380" s="89">
        <v>58038.129600996603</v>
      </c>
      <c r="J380" s="89">
        <v>63420.84</v>
      </c>
      <c r="K380" s="89">
        <v>0</v>
      </c>
      <c r="L380" s="89">
        <v>0</v>
      </c>
      <c r="M380" s="89">
        <v>0</v>
      </c>
      <c r="N380" s="89"/>
      <c r="O380" s="89">
        <v>58038.129600996603</v>
      </c>
      <c r="P380" s="89">
        <v>0</v>
      </c>
      <c r="Q380" s="89">
        <v>0</v>
      </c>
      <c r="R380" s="89">
        <v>58038.129600996603</v>
      </c>
      <c r="S380" s="89">
        <v>63420.84</v>
      </c>
      <c r="T380"/>
      <c r="U380" t="s">
        <v>155</v>
      </c>
      <c r="V380" t="s">
        <v>129</v>
      </c>
      <c r="W380" t="s">
        <v>364</v>
      </c>
      <c r="Y380" t="s">
        <v>853</v>
      </c>
      <c r="Z380" t="s">
        <v>131</v>
      </c>
      <c r="AA380" s="90">
        <v>90040</v>
      </c>
      <c r="AB380" t="s">
        <v>604</v>
      </c>
      <c r="AC380" t="s">
        <v>0</v>
      </c>
      <c r="AD380" t="s">
        <v>140</v>
      </c>
    </row>
    <row r="381" spans="2:30" x14ac:dyDescent="0.25">
      <c r="B381">
        <v>101487</v>
      </c>
      <c r="C381" t="s">
        <v>854</v>
      </c>
      <c r="D381">
        <v>2016</v>
      </c>
      <c r="F381" s="89">
        <v>103641.42493581399</v>
      </c>
      <c r="G381" s="89" t="s">
        <v>128</v>
      </c>
      <c r="H381" s="89"/>
      <c r="I381" s="89">
        <v>9448.9249358141697</v>
      </c>
      <c r="J381" s="89">
        <v>94192.5</v>
      </c>
      <c r="K381" s="89">
        <v>0</v>
      </c>
      <c r="L381" s="89">
        <v>0</v>
      </c>
      <c r="M381" s="89">
        <v>0</v>
      </c>
      <c r="N381" s="89"/>
      <c r="O381" s="89">
        <v>0</v>
      </c>
      <c r="P381" s="89">
        <v>0</v>
      </c>
      <c r="Q381" s="89">
        <v>0</v>
      </c>
      <c r="R381" s="89">
        <v>0</v>
      </c>
      <c r="S381" s="89">
        <v>103641.42493581399</v>
      </c>
      <c r="T381"/>
      <c r="U381" t="s">
        <v>155</v>
      </c>
      <c r="V381" t="s">
        <v>129</v>
      </c>
      <c r="W381" t="s">
        <v>364</v>
      </c>
      <c r="Y381" t="s">
        <v>207</v>
      </c>
      <c r="Z381" t="s">
        <v>131</v>
      </c>
      <c r="AA381" s="90">
        <v>90745</v>
      </c>
      <c r="AB381" t="s">
        <v>504</v>
      </c>
      <c r="AC381" t="s">
        <v>0</v>
      </c>
      <c r="AD381" t="s">
        <v>143</v>
      </c>
    </row>
    <row r="382" spans="2:30" x14ac:dyDescent="0.25">
      <c r="B382">
        <v>100071</v>
      </c>
      <c r="C382" t="s">
        <v>855</v>
      </c>
      <c r="D382">
        <v>2016</v>
      </c>
      <c r="F382" s="89">
        <v>161298.535291618</v>
      </c>
      <c r="G382" s="89" t="s">
        <v>128</v>
      </c>
      <c r="H382" s="89"/>
      <c r="I382" s="89">
        <v>840.33529161813794</v>
      </c>
      <c r="J382" s="89">
        <v>160458.20000000001</v>
      </c>
      <c r="K382" s="89">
        <v>0</v>
      </c>
      <c r="L382" s="89">
        <v>0</v>
      </c>
      <c r="M382" s="89">
        <v>0</v>
      </c>
      <c r="N382" s="89"/>
      <c r="O382" s="89">
        <v>0</v>
      </c>
      <c r="P382" s="89">
        <v>0</v>
      </c>
      <c r="Q382" s="89">
        <v>0</v>
      </c>
      <c r="R382" s="89">
        <v>0</v>
      </c>
      <c r="S382" s="89">
        <v>161298.535291618</v>
      </c>
      <c r="T382"/>
      <c r="U382" t="s">
        <v>155</v>
      </c>
      <c r="V382" t="s">
        <v>129</v>
      </c>
      <c r="W382" t="s">
        <v>364</v>
      </c>
      <c r="Y382" t="s">
        <v>540</v>
      </c>
      <c r="Z382" t="s">
        <v>131</v>
      </c>
      <c r="AA382" s="90">
        <v>90607</v>
      </c>
      <c r="AB382" t="s">
        <v>723</v>
      </c>
      <c r="AC382" t="s">
        <v>0</v>
      </c>
      <c r="AD382" t="s">
        <v>140</v>
      </c>
    </row>
    <row r="383" spans="2:30" x14ac:dyDescent="0.25">
      <c r="B383">
        <v>101373</v>
      </c>
      <c r="C383" t="s">
        <v>856</v>
      </c>
      <c r="D383">
        <v>2016</v>
      </c>
      <c r="F383" s="89">
        <v>0</v>
      </c>
      <c r="G383" s="89" t="s">
        <v>128</v>
      </c>
      <c r="H383" s="89"/>
      <c r="I383" s="89">
        <v>0</v>
      </c>
      <c r="J383" s="89">
        <v>0</v>
      </c>
      <c r="K383" s="89">
        <v>0</v>
      </c>
      <c r="L383" s="89">
        <v>0</v>
      </c>
      <c r="M383" s="89">
        <v>0</v>
      </c>
      <c r="N383" s="89"/>
      <c r="O383" s="89">
        <v>0</v>
      </c>
      <c r="P383" s="89">
        <v>0</v>
      </c>
      <c r="Q383" s="89">
        <v>0</v>
      </c>
      <c r="R383" s="89">
        <v>0</v>
      </c>
      <c r="S383" s="89">
        <v>0</v>
      </c>
      <c r="T383"/>
      <c r="U383" t="s">
        <v>129</v>
      </c>
      <c r="V383" t="s">
        <v>129</v>
      </c>
      <c r="Y383" t="s">
        <v>857</v>
      </c>
      <c r="Z383" t="s">
        <v>131</v>
      </c>
      <c r="AA383" s="90">
        <v>91789</v>
      </c>
      <c r="AB383" t="s">
        <v>723</v>
      </c>
      <c r="AC383" t="s">
        <v>0</v>
      </c>
      <c r="AD383" t="s">
        <v>140</v>
      </c>
    </row>
    <row r="384" spans="2:30" x14ac:dyDescent="0.25">
      <c r="B384">
        <v>101465</v>
      </c>
      <c r="C384" t="s">
        <v>858</v>
      </c>
      <c r="D384">
        <v>2016</v>
      </c>
      <c r="F384" s="89">
        <v>55227.706889519999</v>
      </c>
      <c r="G384" s="89" t="s">
        <v>128</v>
      </c>
      <c r="H384" s="89"/>
      <c r="I384" s="89">
        <v>55227.706889519999</v>
      </c>
      <c r="J384" s="89">
        <v>0</v>
      </c>
      <c r="K384" s="89">
        <v>0</v>
      </c>
      <c r="L384" s="89">
        <v>0</v>
      </c>
      <c r="M384" s="89">
        <v>0</v>
      </c>
      <c r="N384" s="89"/>
      <c r="O384" s="89">
        <v>55227.706889519999</v>
      </c>
      <c r="P384" s="89">
        <v>0</v>
      </c>
      <c r="Q384" s="89">
        <v>0</v>
      </c>
      <c r="R384" s="89">
        <v>55227.706889519999</v>
      </c>
      <c r="S384" s="89">
        <v>0</v>
      </c>
      <c r="T384"/>
      <c r="U384" t="s">
        <v>155</v>
      </c>
      <c r="V384" t="s">
        <v>155</v>
      </c>
      <c r="W384" t="s">
        <v>277</v>
      </c>
      <c r="Y384" t="s">
        <v>843</v>
      </c>
      <c r="Z384" t="s">
        <v>131</v>
      </c>
      <c r="AA384" s="90">
        <v>93274</v>
      </c>
      <c r="AB384" t="s">
        <v>393</v>
      </c>
      <c r="AC384" t="s">
        <v>0</v>
      </c>
      <c r="AD384" t="s">
        <v>143</v>
      </c>
    </row>
    <row r="385" spans="2:30" x14ac:dyDescent="0.25">
      <c r="B385">
        <v>3039</v>
      </c>
      <c r="C385" t="s">
        <v>859</v>
      </c>
      <c r="D385">
        <v>2016</v>
      </c>
      <c r="F385" s="89">
        <v>0</v>
      </c>
      <c r="G385" s="89" t="s">
        <v>128</v>
      </c>
      <c r="H385" s="89"/>
      <c r="I385" s="89">
        <v>0</v>
      </c>
      <c r="J385" s="89">
        <v>0</v>
      </c>
      <c r="K385" s="89">
        <v>0</v>
      </c>
      <c r="L385" s="89">
        <v>0</v>
      </c>
      <c r="M385" s="89">
        <v>0</v>
      </c>
      <c r="N385" s="89"/>
      <c r="O385" s="89">
        <v>0</v>
      </c>
      <c r="P385" s="89">
        <v>0</v>
      </c>
      <c r="Q385" s="89">
        <v>0</v>
      </c>
      <c r="R385" s="89">
        <v>0</v>
      </c>
      <c r="S385" s="89">
        <v>0</v>
      </c>
      <c r="T385"/>
      <c r="U385" t="s">
        <v>129</v>
      </c>
      <c r="V385" t="s">
        <v>129</v>
      </c>
      <c r="Y385" t="s">
        <v>561</v>
      </c>
      <c r="Z385" t="s">
        <v>131</v>
      </c>
      <c r="AA385" s="90">
        <v>96130</v>
      </c>
      <c r="AB385" t="s">
        <v>158</v>
      </c>
      <c r="AC385" t="s">
        <v>136</v>
      </c>
      <c r="AD385" t="s">
        <v>137</v>
      </c>
    </row>
    <row r="386" spans="2:30" x14ac:dyDescent="0.25">
      <c r="B386">
        <v>104656</v>
      </c>
      <c r="C386" t="s">
        <v>860</v>
      </c>
      <c r="D386">
        <v>2016</v>
      </c>
      <c r="F386" s="89">
        <v>0</v>
      </c>
      <c r="G386" s="89" t="s">
        <v>128</v>
      </c>
      <c r="H386" s="89"/>
      <c r="I386" s="89">
        <v>0</v>
      </c>
      <c r="J386" s="89">
        <v>0</v>
      </c>
      <c r="K386" s="89">
        <v>0</v>
      </c>
      <c r="L386" s="89">
        <v>0</v>
      </c>
      <c r="M386" s="89">
        <v>0</v>
      </c>
      <c r="N386" s="89"/>
      <c r="O386" s="89">
        <v>0</v>
      </c>
      <c r="P386" s="89">
        <v>0</v>
      </c>
      <c r="Q386" s="89">
        <v>0</v>
      </c>
      <c r="R386" s="89">
        <v>0</v>
      </c>
      <c r="S386" s="89">
        <v>0</v>
      </c>
      <c r="T386"/>
      <c r="U386" t="s">
        <v>129</v>
      </c>
      <c r="V386" t="s">
        <v>129</v>
      </c>
      <c r="Y386" t="s">
        <v>410</v>
      </c>
      <c r="Z386" t="s">
        <v>131</v>
      </c>
      <c r="AA386" s="90">
        <v>95033</v>
      </c>
      <c r="AB386" t="s">
        <v>158</v>
      </c>
      <c r="AC386" t="s">
        <v>136</v>
      </c>
      <c r="AD386" t="s">
        <v>137</v>
      </c>
    </row>
    <row r="387" spans="2:30" x14ac:dyDescent="0.25">
      <c r="B387">
        <v>101708</v>
      </c>
      <c r="C387" t="s">
        <v>861</v>
      </c>
      <c r="D387">
        <v>2016</v>
      </c>
      <c r="F387" s="89">
        <v>23660.993168960002</v>
      </c>
      <c r="G387" s="89" t="s">
        <v>128</v>
      </c>
      <c r="H387" s="89"/>
      <c r="I387" s="89">
        <v>23660.993168960002</v>
      </c>
      <c r="J387" s="89">
        <v>0</v>
      </c>
      <c r="K387" s="89">
        <v>0</v>
      </c>
      <c r="L387" s="89">
        <v>0</v>
      </c>
      <c r="M387" s="89">
        <v>0</v>
      </c>
      <c r="N387" s="89"/>
      <c r="O387" s="89">
        <v>0</v>
      </c>
      <c r="P387" s="89">
        <v>0</v>
      </c>
      <c r="Q387" s="89">
        <v>0</v>
      </c>
      <c r="R387" s="89">
        <v>0</v>
      </c>
      <c r="S387" s="89">
        <v>23660.993168960002</v>
      </c>
      <c r="T387"/>
      <c r="U387" t="s">
        <v>129</v>
      </c>
      <c r="V387" t="s">
        <v>129</v>
      </c>
      <c r="Y387" t="s">
        <v>252</v>
      </c>
      <c r="Z387" t="s">
        <v>131</v>
      </c>
      <c r="AA387" s="90">
        <v>94550</v>
      </c>
      <c r="AB387" t="s">
        <v>862</v>
      </c>
      <c r="AC387" t="s">
        <v>0</v>
      </c>
      <c r="AD387" t="s">
        <v>143</v>
      </c>
    </row>
    <row r="388" spans="2:30" x14ac:dyDescent="0.25">
      <c r="B388">
        <v>101265</v>
      </c>
      <c r="C388" t="s">
        <v>863</v>
      </c>
      <c r="D388">
        <v>2016</v>
      </c>
      <c r="F388" s="89">
        <v>1017438.48714094</v>
      </c>
      <c r="G388" s="89" t="s">
        <v>128</v>
      </c>
      <c r="H388" s="89"/>
      <c r="I388" s="89">
        <v>1017438.48714094</v>
      </c>
      <c r="J388" s="89">
        <v>0</v>
      </c>
      <c r="K388" s="89">
        <v>0</v>
      </c>
      <c r="L388" s="89">
        <v>0</v>
      </c>
      <c r="M388" s="89">
        <v>0</v>
      </c>
      <c r="N388" s="89"/>
      <c r="O388" s="89">
        <v>1017421.15964982</v>
      </c>
      <c r="P388" s="89">
        <v>0</v>
      </c>
      <c r="Q388" s="89">
        <v>0</v>
      </c>
      <c r="R388" s="89">
        <v>1017421.15964982</v>
      </c>
      <c r="S388" s="89">
        <v>17.327491123000001</v>
      </c>
      <c r="T388"/>
      <c r="U388" t="s">
        <v>155</v>
      </c>
      <c r="V388" t="s">
        <v>155</v>
      </c>
      <c r="W388" t="s">
        <v>215</v>
      </c>
      <c r="Y388" t="s">
        <v>864</v>
      </c>
      <c r="Z388" t="s">
        <v>131</v>
      </c>
      <c r="AA388" s="90">
        <v>95014</v>
      </c>
      <c r="AB388" t="s">
        <v>478</v>
      </c>
      <c r="AC388" t="s">
        <v>479</v>
      </c>
      <c r="AD388" t="s">
        <v>480</v>
      </c>
    </row>
    <row r="389" spans="2:30" x14ac:dyDescent="0.25">
      <c r="B389">
        <v>101381</v>
      </c>
      <c r="C389" t="s">
        <v>865</v>
      </c>
      <c r="D389">
        <v>2016</v>
      </c>
      <c r="F389" s="89">
        <v>198916.483864657</v>
      </c>
      <c r="G389" s="89" t="s">
        <v>128</v>
      </c>
      <c r="H389" s="89"/>
      <c r="I389" s="89">
        <v>181485.16386465699</v>
      </c>
      <c r="J389" s="89">
        <v>17431.32</v>
      </c>
      <c r="K389" s="89">
        <v>0</v>
      </c>
      <c r="L389" s="89">
        <v>0</v>
      </c>
      <c r="M389" s="89">
        <v>0</v>
      </c>
      <c r="N389" s="89"/>
      <c r="O389" s="89">
        <v>181485.16386465699</v>
      </c>
      <c r="P389" s="89">
        <v>0</v>
      </c>
      <c r="Q389" s="89">
        <v>0</v>
      </c>
      <c r="R389" s="89">
        <v>181485.16386465699</v>
      </c>
      <c r="S389" s="89">
        <v>17431.32</v>
      </c>
      <c r="T389"/>
      <c r="U389" t="s">
        <v>210</v>
      </c>
      <c r="V389" t="s">
        <v>155</v>
      </c>
      <c r="W389" t="s">
        <v>215</v>
      </c>
      <c r="Y389" t="s">
        <v>866</v>
      </c>
      <c r="Z389" t="s">
        <v>131</v>
      </c>
      <c r="AA389" s="90">
        <v>96003</v>
      </c>
      <c r="AB389" t="s">
        <v>478</v>
      </c>
      <c r="AC389" t="s">
        <v>479</v>
      </c>
      <c r="AD389" t="s">
        <v>480</v>
      </c>
    </row>
    <row r="390" spans="2:30" x14ac:dyDescent="0.25">
      <c r="B390">
        <v>101461</v>
      </c>
      <c r="C390" t="s">
        <v>867</v>
      </c>
      <c r="D390">
        <v>2016</v>
      </c>
      <c r="F390" s="89">
        <v>596514.98617767601</v>
      </c>
      <c r="G390" s="89" t="s">
        <v>128</v>
      </c>
      <c r="H390" s="89"/>
      <c r="I390" s="89">
        <v>596514.98617767601</v>
      </c>
      <c r="J390" s="89">
        <v>0</v>
      </c>
      <c r="K390" s="89">
        <v>0</v>
      </c>
      <c r="L390" s="89">
        <v>0</v>
      </c>
      <c r="M390" s="89">
        <v>0</v>
      </c>
      <c r="N390" s="89"/>
      <c r="O390" s="89">
        <v>596514.98617767601</v>
      </c>
      <c r="P390" s="89">
        <v>0</v>
      </c>
      <c r="Q390" s="89">
        <v>0</v>
      </c>
      <c r="R390" s="89">
        <v>596514.98617767601</v>
      </c>
      <c r="S390" s="89">
        <v>0</v>
      </c>
      <c r="T390"/>
      <c r="U390" t="s">
        <v>155</v>
      </c>
      <c r="V390" t="s">
        <v>155</v>
      </c>
      <c r="W390" t="s">
        <v>215</v>
      </c>
      <c r="Y390" t="s">
        <v>868</v>
      </c>
      <c r="Z390" t="s">
        <v>131</v>
      </c>
      <c r="AA390" s="90">
        <v>93561</v>
      </c>
      <c r="AB390" t="s">
        <v>478</v>
      </c>
      <c r="AC390" t="s">
        <v>479</v>
      </c>
      <c r="AD390" t="s">
        <v>480</v>
      </c>
    </row>
    <row r="391" spans="2:30" x14ac:dyDescent="0.25">
      <c r="B391">
        <v>104106</v>
      </c>
      <c r="C391" t="s">
        <v>869</v>
      </c>
      <c r="D391">
        <v>2016</v>
      </c>
      <c r="F391" s="89">
        <v>20188.535727999999</v>
      </c>
      <c r="G391" s="89" t="s">
        <v>128</v>
      </c>
      <c r="H391" s="89"/>
      <c r="I391" s="89">
        <v>20188.535727999999</v>
      </c>
      <c r="J391" s="89">
        <v>0</v>
      </c>
      <c r="K391" s="89">
        <v>0</v>
      </c>
      <c r="L391" s="89">
        <v>0</v>
      </c>
      <c r="M391" s="89">
        <v>0</v>
      </c>
      <c r="N391" s="89"/>
      <c r="O391" s="89">
        <v>0</v>
      </c>
      <c r="P391" s="89">
        <v>0</v>
      </c>
      <c r="Q391" s="89">
        <v>0</v>
      </c>
      <c r="R391" s="89">
        <v>0</v>
      </c>
      <c r="S391" s="89">
        <v>20188.535727999999</v>
      </c>
      <c r="T391"/>
      <c r="U391" t="s">
        <v>129</v>
      </c>
      <c r="V391" t="s">
        <v>129</v>
      </c>
      <c r="Y391" t="s">
        <v>870</v>
      </c>
      <c r="Z391" t="s">
        <v>131</v>
      </c>
      <c r="AA391" s="90">
        <v>93245</v>
      </c>
      <c r="AB391" t="s">
        <v>768</v>
      </c>
      <c r="AC391" t="s">
        <v>0</v>
      </c>
      <c r="AD391" t="s">
        <v>143</v>
      </c>
    </row>
    <row r="392" spans="2:30" x14ac:dyDescent="0.25">
      <c r="B392">
        <v>101716</v>
      </c>
      <c r="C392" t="s">
        <v>871</v>
      </c>
      <c r="D392">
        <v>2016</v>
      </c>
      <c r="F392" s="89">
        <v>48844.891978352003</v>
      </c>
      <c r="G392" s="89" t="s">
        <v>128</v>
      </c>
      <c r="H392" s="89"/>
      <c r="I392" s="89">
        <v>48844.891978352003</v>
      </c>
      <c r="J392" s="89">
        <v>0</v>
      </c>
      <c r="K392" s="89">
        <v>0</v>
      </c>
      <c r="L392" s="89">
        <v>0</v>
      </c>
      <c r="M392" s="89">
        <v>0</v>
      </c>
      <c r="N392" s="89"/>
      <c r="O392" s="89">
        <v>48802.055089599999</v>
      </c>
      <c r="P392" s="89">
        <v>0</v>
      </c>
      <c r="Q392" s="89">
        <v>0</v>
      </c>
      <c r="R392" s="89">
        <v>48802.055089599999</v>
      </c>
      <c r="S392" s="89">
        <v>42.836888752</v>
      </c>
      <c r="T392"/>
      <c r="U392" t="s">
        <v>155</v>
      </c>
      <c r="V392" t="s">
        <v>155</v>
      </c>
      <c r="W392" t="s">
        <v>156</v>
      </c>
      <c r="Y392" t="s">
        <v>759</v>
      </c>
      <c r="Z392" t="s">
        <v>131</v>
      </c>
      <c r="AA392" s="90">
        <v>93245</v>
      </c>
      <c r="AB392" t="s">
        <v>768</v>
      </c>
      <c r="AC392" t="s">
        <v>0</v>
      </c>
      <c r="AD392" t="s">
        <v>143</v>
      </c>
    </row>
    <row r="393" spans="2:30" x14ac:dyDescent="0.25">
      <c r="B393">
        <v>104105</v>
      </c>
      <c r="C393" t="s">
        <v>872</v>
      </c>
      <c r="D393">
        <v>2016</v>
      </c>
      <c r="F393" s="89">
        <v>16387.943663999999</v>
      </c>
      <c r="G393" s="89" t="s">
        <v>128</v>
      </c>
      <c r="H393" s="89"/>
      <c r="I393" s="89">
        <v>16387.943663999999</v>
      </c>
      <c r="J393" s="89">
        <v>0</v>
      </c>
      <c r="K393" s="89">
        <v>0</v>
      </c>
      <c r="L393" s="89">
        <v>0</v>
      </c>
      <c r="M393" s="89">
        <v>0</v>
      </c>
      <c r="N393" s="89"/>
      <c r="O393" s="89">
        <v>0</v>
      </c>
      <c r="P393" s="89">
        <v>0</v>
      </c>
      <c r="Q393" s="89">
        <v>0</v>
      </c>
      <c r="R393" s="89">
        <v>0</v>
      </c>
      <c r="S393" s="89">
        <v>16387.943663999999</v>
      </c>
      <c r="T393"/>
      <c r="U393" t="s">
        <v>129</v>
      </c>
      <c r="V393" t="s">
        <v>129</v>
      </c>
      <c r="Y393" t="s">
        <v>873</v>
      </c>
      <c r="Z393" t="s">
        <v>131</v>
      </c>
      <c r="AA393" s="90">
        <v>95376</v>
      </c>
      <c r="AB393" t="s">
        <v>768</v>
      </c>
      <c r="AC393" t="s">
        <v>0</v>
      </c>
      <c r="AD393" t="s">
        <v>143</v>
      </c>
    </row>
    <row r="394" spans="2:30" x14ac:dyDescent="0.25">
      <c r="B394">
        <v>104052</v>
      </c>
      <c r="C394" t="s">
        <v>874</v>
      </c>
      <c r="D394">
        <v>2016</v>
      </c>
      <c r="F394" s="89">
        <v>80725.042664730005</v>
      </c>
      <c r="G394" s="89" t="s">
        <v>128</v>
      </c>
      <c r="H394" s="89"/>
      <c r="I394" s="89">
        <v>80725.042664730005</v>
      </c>
      <c r="J394" s="89">
        <v>0</v>
      </c>
      <c r="K394" s="89">
        <v>0</v>
      </c>
      <c r="L394" s="89">
        <v>0</v>
      </c>
      <c r="M394" s="89">
        <v>0</v>
      </c>
      <c r="N394" s="89"/>
      <c r="O394" s="89">
        <v>80723.063911552003</v>
      </c>
      <c r="P394" s="89">
        <v>0</v>
      </c>
      <c r="Q394" s="89">
        <v>0</v>
      </c>
      <c r="R394" s="89">
        <v>80723.063911552003</v>
      </c>
      <c r="S394" s="89">
        <v>1.9787531780000001</v>
      </c>
      <c r="T394"/>
      <c r="U394" t="s">
        <v>155</v>
      </c>
      <c r="V394" t="s">
        <v>155</v>
      </c>
      <c r="W394" t="s">
        <v>197</v>
      </c>
      <c r="Y394" t="s">
        <v>875</v>
      </c>
      <c r="Z394" t="s">
        <v>131</v>
      </c>
      <c r="AA394" s="90">
        <v>93908</v>
      </c>
      <c r="AB394" t="s">
        <v>876</v>
      </c>
      <c r="AC394" t="s">
        <v>877</v>
      </c>
      <c r="AD394" t="s">
        <v>143</v>
      </c>
    </row>
    <row r="395" spans="2:30" x14ac:dyDescent="0.25">
      <c r="B395">
        <v>101499</v>
      </c>
      <c r="C395" t="s">
        <v>878</v>
      </c>
      <c r="D395">
        <v>2016</v>
      </c>
      <c r="F395" s="89">
        <v>90869.161928000001</v>
      </c>
      <c r="G395" s="89" t="s">
        <v>128</v>
      </c>
      <c r="H395" s="89"/>
      <c r="I395" s="89">
        <v>90869.161928000001</v>
      </c>
      <c r="J395" s="89">
        <v>0</v>
      </c>
      <c r="K395" s="89">
        <v>0</v>
      </c>
      <c r="L395" s="89">
        <v>0</v>
      </c>
      <c r="M395" s="89">
        <v>0</v>
      </c>
      <c r="N395" s="89"/>
      <c r="O395" s="89">
        <v>90869.161928000001</v>
      </c>
      <c r="P395" s="89">
        <v>0</v>
      </c>
      <c r="Q395" s="89">
        <v>0</v>
      </c>
      <c r="R395" s="89">
        <v>90869.161928000001</v>
      </c>
      <c r="S395" s="89">
        <v>0</v>
      </c>
      <c r="T395"/>
      <c r="U395" t="s">
        <v>155</v>
      </c>
      <c r="V395" t="s">
        <v>155</v>
      </c>
      <c r="W395" t="s">
        <v>565</v>
      </c>
      <c r="Y395" t="s">
        <v>397</v>
      </c>
      <c r="Z395" t="s">
        <v>131</v>
      </c>
      <c r="AA395" s="90">
        <v>93635</v>
      </c>
      <c r="AB395" t="s">
        <v>485</v>
      </c>
      <c r="AC395" t="s">
        <v>0</v>
      </c>
      <c r="AD395" t="s">
        <v>143</v>
      </c>
    </row>
    <row r="396" spans="2:30" x14ac:dyDescent="0.25">
      <c r="B396">
        <v>104451</v>
      </c>
      <c r="C396" t="s">
        <v>879</v>
      </c>
      <c r="D396">
        <v>2016</v>
      </c>
      <c r="F396" s="89">
        <v>0</v>
      </c>
      <c r="G396" s="89" t="s">
        <v>128</v>
      </c>
      <c r="H396" s="89"/>
      <c r="I396" s="89">
        <v>0</v>
      </c>
      <c r="J396" s="89">
        <v>0</v>
      </c>
      <c r="K396" s="89">
        <v>0</v>
      </c>
      <c r="L396" s="89">
        <v>0</v>
      </c>
      <c r="M396" s="89">
        <v>0</v>
      </c>
      <c r="N396" s="89"/>
      <c r="O396" s="89">
        <v>0</v>
      </c>
      <c r="P396" s="89">
        <v>0</v>
      </c>
      <c r="Q396" s="89">
        <v>0</v>
      </c>
      <c r="R396" s="89">
        <v>0</v>
      </c>
      <c r="S396" s="89">
        <v>0</v>
      </c>
      <c r="T396"/>
      <c r="U396" t="s">
        <v>129</v>
      </c>
      <c r="V396" t="s">
        <v>129</v>
      </c>
      <c r="Y396" t="s">
        <v>880</v>
      </c>
      <c r="Z396" t="s">
        <v>750</v>
      </c>
      <c r="AA396" s="90">
        <v>33309</v>
      </c>
      <c r="AB396" t="s">
        <v>381</v>
      </c>
      <c r="AC396" t="s">
        <v>136</v>
      </c>
      <c r="AD396" t="s">
        <v>137</v>
      </c>
    </row>
    <row r="397" spans="2:30" x14ac:dyDescent="0.25">
      <c r="B397">
        <v>104099</v>
      </c>
      <c r="C397" t="s">
        <v>881</v>
      </c>
      <c r="D397">
        <v>2016</v>
      </c>
      <c r="F397" s="89">
        <v>99466.703519999995</v>
      </c>
      <c r="G397" s="89" t="s">
        <v>128</v>
      </c>
      <c r="H397" s="89"/>
      <c r="I397" s="89">
        <v>0</v>
      </c>
      <c r="J397" s="89">
        <v>0</v>
      </c>
      <c r="K397" s="89">
        <v>0</v>
      </c>
      <c r="L397" s="89">
        <v>0</v>
      </c>
      <c r="M397" s="89">
        <v>99466.703519999995</v>
      </c>
      <c r="N397" s="89"/>
      <c r="O397" s="89">
        <v>0</v>
      </c>
      <c r="P397" s="89">
        <v>0</v>
      </c>
      <c r="Q397" s="89">
        <v>99466.703519999995</v>
      </c>
      <c r="R397" s="89">
        <v>99466.703519999995</v>
      </c>
      <c r="S397" s="89">
        <v>0</v>
      </c>
      <c r="T397"/>
      <c r="U397" t="s">
        <v>155</v>
      </c>
      <c r="V397" t="s">
        <v>129</v>
      </c>
      <c r="W397" t="s">
        <v>337</v>
      </c>
      <c r="Y397" t="s">
        <v>882</v>
      </c>
      <c r="Z397" t="s">
        <v>131</v>
      </c>
      <c r="AA397" s="90">
        <v>96150</v>
      </c>
      <c r="AB397" t="s">
        <v>158</v>
      </c>
      <c r="AC397" t="s">
        <v>136</v>
      </c>
      <c r="AD397" t="s">
        <v>137</v>
      </c>
    </row>
    <row r="398" spans="2:30" x14ac:dyDescent="0.25">
      <c r="B398">
        <v>101044</v>
      </c>
      <c r="C398" t="s">
        <v>883</v>
      </c>
      <c r="D398">
        <v>2016</v>
      </c>
      <c r="F398" s="89">
        <v>5232.7086715200003</v>
      </c>
      <c r="G398" s="89" t="s">
        <v>128</v>
      </c>
      <c r="H398" s="89"/>
      <c r="I398" s="89">
        <v>5232.7086715200003</v>
      </c>
      <c r="J398" s="89">
        <v>0</v>
      </c>
      <c r="K398" s="89">
        <v>0</v>
      </c>
      <c r="L398" s="89">
        <v>0</v>
      </c>
      <c r="M398" s="89">
        <v>0</v>
      </c>
      <c r="N398" s="89"/>
      <c r="O398" s="89">
        <v>5232.7086715200003</v>
      </c>
      <c r="P398" s="89">
        <v>0</v>
      </c>
      <c r="Q398" s="89">
        <v>0</v>
      </c>
      <c r="R398" s="89">
        <v>5232.7086715200003</v>
      </c>
      <c r="S398" s="89">
        <v>0</v>
      </c>
      <c r="T398"/>
      <c r="U398" t="s">
        <v>155</v>
      </c>
      <c r="V398" t="s">
        <v>129</v>
      </c>
      <c r="W398" t="s">
        <v>277</v>
      </c>
      <c r="Y398" t="s">
        <v>178</v>
      </c>
      <c r="Z398" t="s">
        <v>131</v>
      </c>
      <c r="AA398" s="90">
        <v>93308</v>
      </c>
      <c r="AB398" t="s">
        <v>132</v>
      </c>
      <c r="AC398" t="s">
        <v>0</v>
      </c>
      <c r="AD398" t="s">
        <v>133</v>
      </c>
    </row>
    <row r="399" spans="2:30" x14ac:dyDescent="0.25">
      <c r="B399">
        <v>101574</v>
      </c>
      <c r="C399" t="s">
        <v>884</v>
      </c>
      <c r="D399">
        <v>2016</v>
      </c>
      <c r="F399" s="89">
        <v>15581.719959567999</v>
      </c>
      <c r="G399" s="89" t="s">
        <v>128</v>
      </c>
      <c r="H399" s="89"/>
      <c r="I399" s="89">
        <v>15581.719959567999</v>
      </c>
      <c r="J399" s="89">
        <v>0</v>
      </c>
      <c r="K399" s="89">
        <v>0</v>
      </c>
      <c r="L399" s="89">
        <v>0</v>
      </c>
      <c r="M399" s="89">
        <v>0</v>
      </c>
      <c r="N399" s="89"/>
      <c r="O399" s="89">
        <v>0</v>
      </c>
      <c r="P399" s="89">
        <v>0</v>
      </c>
      <c r="Q399" s="89">
        <v>0</v>
      </c>
      <c r="R399" s="89">
        <v>0</v>
      </c>
      <c r="S399" s="89">
        <v>15581.719959567999</v>
      </c>
      <c r="T399"/>
      <c r="U399" t="s">
        <v>129</v>
      </c>
      <c r="V399" t="s">
        <v>129</v>
      </c>
      <c r="Y399" t="s">
        <v>885</v>
      </c>
      <c r="Z399" t="s">
        <v>131</v>
      </c>
      <c r="AA399" s="90">
        <v>93599</v>
      </c>
      <c r="AB399" t="s">
        <v>886</v>
      </c>
      <c r="AC399" t="s">
        <v>0</v>
      </c>
      <c r="AD399" t="s">
        <v>143</v>
      </c>
    </row>
    <row r="400" spans="2:30" x14ac:dyDescent="0.25">
      <c r="B400">
        <v>101623</v>
      </c>
      <c r="C400" t="s">
        <v>887</v>
      </c>
      <c r="D400">
        <v>2016</v>
      </c>
      <c r="F400" s="89">
        <v>24923.2610459875</v>
      </c>
      <c r="G400" s="89" t="s">
        <v>128</v>
      </c>
      <c r="H400" s="89"/>
      <c r="I400" s="89">
        <v>24923.2610459875</v>
      </c>
      <c r="J400" s="89">
        <v>0</v>
      </c>
      <c r="K400" s="89">
        <v>0</v>
      </c>
      <c r="L400" s="89">
        <v>0</v>
      </c>
      <c r="M400" s="89">
        <v>0</v>
      </c>
      <c r="N400" s="89"/>
      <c r="O400" s="89">
        <v>22014.959343916002</v>
      </c>
      <c r="P400" s="89">
        <v>0</v>
      </c>
      <c r="Q400" s="89">
        <v>0</v>
      </c>
      <c r="R400" s="89">
        <v>22014.959343916002</v>
      </c>
      <c r="S400" s="89">
        <v>2908.3017020715001</v>
      </c>
      <c r="T400"/>
      <c r="U400" t="s">
        <v>155</v>
      </c>
      <c r="V400" t="s">
        <v>129</v>
      </c>
      <c r="W400" t="s">
        <v>222</v>
      </c>
      <c r="Y400" t="s">
        <v>888</v>
      </c>
      <c r="Z400" t="s">
        <v>131</v>
      </c>
      <c r="AA400" s="90">
        <v>94089</v>
      </c>
      <c r="AB400" t="s">
        <v>889</v>
      </c>
      <c r="AC400" t="s">
        <v>0</v>
      </c>
      <c r="AD400" t="s">
        <v>143</v>
      </c>
    </row>
    <row r="401" spans="2:30" x14ac:dyDescent="0.25">
      <c r="B401">
        <v>104424</v>
      </c>
      <c r="C401" t="s">
        <v>890</v>
      </c>
      <c r="D401">
        <v>2016</v>
      </c>
      <c r="F401" s="89">
        <v>10206.195747968</v>
      </c>
      <c r="G401" s="89" t="s">
        <v>128</v>
      </c>
      <c r="H401" s="89"/>
      <c r="I401" s="89">
        <v>10206.195747968</v>
      </c>
      <c r="J401" s="89">
        <v>0</v>
      </c>
      <c r="K401" s="89">
        <v>0</v>
      </c>
      <c r="L401" s="89">
        <v>0</v>
      </c>
      <c r="M401" s="89">
        <v>0</v>
      </c>
      <c r="N401" s="89"/>
      <c r="O401" s="89">
        <v>0</v>
      </c>
      <c r="P401" s="89">
        <v>0</v>
      </c>
      <c r="Q401" s="89">
        <v>0</v>
      </c>
      <c r="R401" s="89">
        <v>0</v>
      </c>
      <c r="S401" s="89">
        <v>10206.195747968</v>
      </c>
      <c r="T401"/>
      <c r="U401" t="s">
        <v>129</v>
      </c>
      <c r="V401" t="s">
        <v>129</v>
      </c>
      <c r="Y401" t="s">
        <v>891</v>
      </c>
      <c r="Z401" t="s">
        <v>131</v>
      </c>
      <c r="AA401" s="90">
        <v>95220</v>
      </c>
      <c r="AB401" t="s">
        <v>451</v>
      </c>
      <c r="AC401" t="s">
        <v>175</v>
      </c>
      <c r="AD401" t="s">
        <v>176</v>
      </c>
    </row>
    <row r="402" spans="2:30" x14ac:dyDescent="0.25">
      <c r="B402">
        <v>3040</v>
      </c>
      <c r="C402" t="s">
        <v>892</v>
      </c>
      <c r="D402">
        <v>2016</v>
      </c>
      <c r="F402" s="89">
        <v>0</v>
      </c>
      <c r="G402" s="89" t="s">
        <v>128</v>
      </c>
      <c r="H402" s="89"/>
      <c r="I402" s="89">
        <v>0</v>
      </c>
      <c r="J402" s="89">
        <v>0</v>
      </c>
      <c r="K402" s="89">
        <v>0</v>
      </c>
      <c r="L402" s="89">
        <v>0</v>
      </c>
      <c r="M402" s="89">
        <v>0</v>
      </c>
      <c r="N402" s="89"/>
      <c r="O402" s="89">
        <v>0</v>
      </c>
      <c r="P402" s="89">
        <v>0</v>
      </c>
      <c r="Q402" s="89">
        <v>0</v>
      </c>
      <c r="R402" s="89">
        <v>0</v>
      </c>
      <c r="S402" s="89">
        <v>0</v>
      </c>
      <c r="T402"/>
      <c r="U402" t="s">
        <v>129</v>
      </c>
      <c r="V402" t="s">
        <v>129</v>
      </c>
      <c r="Y402" t="s">
        <v>141</v>
      </c>
      <c r="Z402" t="s">
        <v>131</v>
      </c>
      <c r="AA402" s="90">
        <v>90120</v>
      </c>
      <c r="AB402" t="s">
        <v>158</v>
      </c>
      <c r="AC402" t="s">
        <v>136</v>
      </c>
      <c r="AD402" t="s">
        <v>137</v>
      </c>
    </row>
    <row r="403" spans="2:30" x14ac:dyDescent="0.25">
      <c r="B403">
        <v>104172</v>
      </c>
      <c r="C403" t="s">
        <v>893</v>
      </c>
      <c r="D403">
        <v>2016</v>
      </c>
      <c r="F403" s="89">
        <v>211801.95090076001</v>
      </c>
      <c r="G403" s="89" t="s">
        <v>128</v>
      </c>
      <c r="H403" s="89"/>
      <c r="I403" s="89">
        <v>211801.95090076001</v>
      </c>
      <c r="J403" s="89">
        <v>0</v>
      </c>
      <c r="K403" s="89">
        <v>0</v>
      </c>
      <c r="L403" s="89">
        <v>0</v>
      </c>
      <c r="M403" s="89">
        <v>0</v>
      </c>
      <c r="N403" s="89"/>
      <c r="O403" s="89">
        <v>211801.95090076001</v>
      </c>
      <c r="P403" s="89">
        <v>0</v>
      </c>
      <c r="Q403" s="89">
        <v>0</v>
      </c>
      <c r="R403" s="89">
        <v>211801.95090076001</v>
      </c>
      <c r="S403" s="89">
        <v>0</v>
      </c>
      <c r="T403"/>
      <c r="U403" t="s">
        <v>155</v>
      </c>
      <c r="V403" t="s">
        <v>129</v>
      </c>
      <c r="W403" t="s">
        <v>337</v>
      </c>
      <c r="Y403" t="s">
        <v>894</v>
      </c>
      <c r="Z403" t="s">
        <v>131</v>
      </c>
      <c r="AA403" s="90">
        <v>95242</v>
      </c>
      <c r="AB403" t="s">
        <v>132</v>
      </c>
      <c r="AC403" t="s">
        <v>385</v>
      </c>
      <c r="AD403" t="s">
        <v>140</v>
      </c>
    </row>
    <row r="404" spans="2:30" x14ac:dyDescent="0.25">
      <c r="B404">
        <v>100207</v>
      </c>
      <c r="C404" t="s">
        <v>895</v>
      </c>
      <c r="D404">
        <v>2016</v>
      </c>
      <c r="F404" s="89">
        <v>59128.461013095002</v>
      </c>
      <c r="G404" s="89" t="s">
        <v>128</v>
      </c>
      <c r="H404" s="89"/>
      <c r="I404" s="89">
        <v>59128.461013095002</v>
      </c>
      <c r="J404" s="89">
        <v>0</v>
      </c>
      <c r="K404" s="89">
        <v>0</v>
      </c>
      <c r="L404" s="89">
        <v>0</v>
      </c>
      <c r="M404" s="89">
        <v>0</v>
      </c>
      <c r="N404" s="89"/>
      <c r="O404" s="89">
        <v>59128.461013095002</v>
      </c>
      <c r="P404" s="89">
        <v>0</v>
      </c>
      <c r="Q404" s="89">
        <v>0</v>
      </c>
      <c r="R404" s="89">
        <v>59128.461013095002</v>
      </c>
      <c r="S404" s="89">
        <v>0</v>
      </c>
      <c r="T404"/>
      <c r="U404" t="s">
        <v>155</v>
      </c>
      <c r="V404" t="s">
        <v>129</v>
      </c>
      <c r="W404" t="s">
        <v>215</v>
      </c>
      <c r="Y404" t="s">
        <v>896</v>
      </c>
      <c r="Z404" t="s">
        <v>131</v>
      </c>
      <c r="AA404" s="90">
        <v>92354</v>
      </c>
      <c r="AB404" t="s">
        <v>335</v>
      </c>
      <c r="AC404" t="s">
        <v>0</v>
      </c>
      <c r="AD404" t="s">
        <v>143</v>
      </c>
    </row>
    <row r="405" spans="2:30" x14ac:dyDescent="0.25">
      <c r="B405">
        <v>104479</v>
      </c>
      <c r="C405" t="s">
        <v>897</v>
      </c>
      <c r="D405">
        <v>2016</v>
      </c>
      <c r="F405" s="89">
        <v>7552.74297480532</v>
      </c>
      <c r="G405" s="89" t="s">
        <v>128</v>
      </c>
      <c r="H405" s="89"/>
      <c r="I405" s="89">
        <v>7552.74297480532</v>
      </c>
      <c r="J405" s="89">
        <v>0</v>
      </c>
      <c r="K405" s="89">
        <v>0</v>
      </c>
      <c r="L405" s="89">
        <v>0</v>
      </c>
      <c r="M405" s="89">
        <v>0</v>
      </c>
      <c r="N405" s="89"/>
      <c r="O405" s="89">
        <v>0</v>
      </c>
      <c r="P405" s="89">
        <v>0</v>
      </c>
      <c r="Q405" s="89">
        <v>0</v>
      </c>
      <c r="R405" s="89">
        <v>0</v>
      </c>
      <c r="S405" s="89">
        <v>7552.74297480532</v>
      </c>
      <c r="T405"/>
      <c r="U405" t="s">
        <v>129</v>
      </c>
      <c r="V405" t="s">
        <v>129</v>
      </c>
      <c r="Y405" t="s">
        <v>544</v>
      </c>
      <c r="Z405" t="s">
        <v>131</v>
      </c>
      <c r="AA405" s="90">
        <v>93436</v>
      </c>
      <c r="AB405" t="s">
        <v>170</v>
      </c>
      <c r="AC405" t="s">
        <v>0</v>
      </c>
      <c r="AD405" t="s">
        <v>176</v>
      </c>
    </row>
    <row r="406" spans="2:30" x14ac:dyDescent="0.25">
      <c r="B406">
        <v>5003</v>
      </c>
      <c r="C406" t="s">
        <v>898</v>
      </c>
      <c r="D406">
        <v>2016</v>
      </c>
      <c r="F406" s="89">
        <v>474493.74109600001</v>
      </c>
      <c r="G406" s="89" t="s">
        <v>128</v>
      </c>
      <c r="H406" s="89"/>
      <c r="I406" s="89">
        <v>0</v>
      </c>
      <c r="J406" s="89">
        <v>0</v>
      </c>
      <c r="K406" s="89">
        <v>474493.74109600001</v>
      </c>
      <c r="L406" s="89">
        <v>0</v>
      </c>
      <c r="M406" s="89">
        <v>0</v>
      </c>
      <c r="N406" s="89"/>
      <c r="O406" s="89">
        <v>0</v>
      </c>
      <c r="P406" s="89">
        <v>401126.86329982901</v>
      </c>
      <c r="Q406" s="89">
        <v>0</v>
      </c>
      <c r="R406" s="89">
        <v>401126.86329982901</v>
      </c>
      <c r="S406" s="89">
        <v>73366.877796171</v>
      </c>
      <c r="T406"/>
      <c r="U406" t="s">
        <v>155</v>
      </c>
      <c r="V406" t="s">
        <v>129</v>
      </c>
      <c r="W406" t="s">
        <v>215</v>
      </c>
      <c r="Y406" t="s">
        <v>185</v>
      </c>
      <c r="Z406" t="s">
        <v>131</v>
      </c>
      <c r="AA406" s="90">
        <v>90806</v>
      </c>
      <c r="AB406" t="s">
        <v>550</v>
      </c>
      <c r="AC406" t="s">
        <v>259</v>
      </c>
      <c r="AD406" t="s">
        <v>260</v>
      </c>
    </row>
    <row r="407" spans="2:30" x14ac:dyDescent="0.25">
      <c r="B407">
        <v>3042</v>
      </c>
      <c r="C407" t="s">
        <v>899</v>
      </c>
      <c r="D407">
        <v>2016</v>
      </c>
      <c r="F407" s="89">
        <v>7746716.6869632499</v>
      </c>
      <c r="G407" s="89" t="s">
        <v>128</v>
      </c>
      <c r="H407" s="89"/>
      <c r="I407" s="89">
        <v>0</v>
      </c>
      <c r="J407" s="89">
        <v>0</v>
      </c>
      <c r="K407" s="89">
        <v>0</v>
      </c>
      <c r="L407" s="89">
        <v>0</v>
      </c>
      <c r="M407" s="89">
        <v>7746716.6869632499</v>
      </c>
      <c r="N407" s="89"/>
      <c r="O407" s="89">
        <v>0</v>
      </c>
      <c r="P407" s="89">
        <v>0</v>
      </c>
      <c r="Q407" s="89">
        <v>6140616.72696325</v>
      </c>
      <c r="R407" s="89">
        <v>6140616.72696325</v>
      </c>
      <c r="S407" s="89">
        <v>1606099.96</v>
      </c>
      <c r="T407"/>
      <c r="U407" t="s">
        <v>210</v>
      </c>
      <c r="V407" t="s">
        <v>129</v>
      </c>
      <c r="W407" t="s">
        <v>900</v>
      </c>
      <c r="Y407" t="s">
        <v>320</v>
      </c>
      <c r="Z407" t="s">
        <v>131</v>
      </c>
      <c r="AA407" s="90">
        <v>90012</v>
      </c>
      <c r="AB407" t="s">
        <v>381</v>
      </c>
      <c r="AC407" t="s">
        <v>136</v>
      </c>
      <c r="AD407" t="s">
        <v>137</v>
      </c>
    </row>
    <row r="408" spans="2:30" x14ac:dyDescent="0.25">
      <c r="B408">
        <v>100185</v>
      </c>
      <c r="C408" t="s">
        <v>901</v>
      </c>
      <c r="D408">
        <v>2016</v>
      </c>
      <c r="F408" s="89">
        <v>80426.039374533997</v>
      </c>
      <c r="G408" s="89" t="s">
        <v>128</v>
      </c>
      <c r="H408" s="89"/>
      <c r="I408" s="89">
        <v>80405.049374534006</v>
      </c>
      <c r="J408" s="89">
        <v>20.99</v>
      </c>
      <c r="K408" s="89">
        <v>0</v>
      </c>
      <c r="L408" s="89">
        <v>0</v>
      </c>
      <c r="M408" s="89">
        <v>0</v>
      </c>
      <c r="N408" s="89"/>
      <c r="O408" s="89">
        <v>76140.600841695996</v>
      </c>
      <c r="P408" s="89">
        <v>0</v>
      </c>
      <c r="Q408" s="89">
        <v>0</v>
      </c>
      <c r="R408" s="89">
        <v>76140.600841695996</v>
      </c>
      <c r="S408" s="89">
        <v>4285.4385328380004</v>
      </c>
      <c r="T408"/>
      <c r="U408" t="s">
        <v>155</v>
      </c>
      <c r="V408" t="s">
        <v>129</v>
      </c>
      <c r="W408" t="s">
        <v>900</v>
      </c>
      <c r="Y408" t="s">
        <v>211</v>
      </c>
      <c r="Z408" t="s">
        <v>131</v>
      </c>
      <c r="AA408" s="90">
        <v>90744</v>
      </c>
      <c r="AB408" t="s">
        <v>132</v>
      </c>
      <c r="AC408" t="s">
        <v>1</v>
      </c>
      <c r="AD408" t="s">
        <v>140</v>
      </c>
    </row>
    <row r="409" spans="2:30" x14ac:dyDescent="0.25">
      <c r="B409">
        <v>100187</v>
      </c>
      <c r="C409" t="s">
        <v>902</v>
      </c>
      <c r="D409">
        <v>2016</v>
      </c>
      <c r="F409" s="89">
        <v>1432677.83508947</v>
      </c>
      <c r="G409" s="89" t="s">
        <v>128</v>
      </c>
      <c r="H409" s="89"/>
      <c r="I409" s="89">
        <v>1352964.4305894701</v>
      </c>
      <c r="J409" s="89">
        <v>79713.404500000004</v>
      </c>
      <c r="K409" s="89">
        <v>0</v>
      </c>
      <c r="L409" s="89">
        <v>0</v>
      </c>
      <c r="M409" s="89">
        <v>0</v>
      </c>
      <c r="N409" s="89"/>
      <c r="O409" s="89">
        <v>1346909.66373586</v>
      </c>
      <c r="P409" s="89">
        <v>0</v>
      </c>
      <c r="Q409" s="89">
        <v>0</v>
      </c>
      <c r="R409" s="89">
        <v>1346909.66373586</v>
      </c>
      <c r="S409" s="89">
        <v>85768.171353615006</v>
      </c>
      <c r="T409"/>
      <c r="U409" t="s">
        <v>155</v>
      </c>
      <c r="V409" t="s">
        <v>129</v>
      </c>
      <c r="W409" t="s">
        <v>900</v>
      </c>
      <c r="Y409" t="s">
        <v>185</v>
      </c>
      <c r="Z409" t="s">
        <v>131</v>
      </c>
      <c r="AA409" s="90">
        <v>90803</v>
      </c>
      <c r="AB409" t="s">
        <v>132</v>
      </c>
      <c r="AC409" t="s">
        <v>385</v>
      </c>
      <c r="AD409" t="s">
        <v>140</v>
      </c>
    </row>
    <row r="410" spans="2:30" x14ac:dyDescent="0.25">
      <c r="B410">
        <v>101004</v>
      </c>
      <c r="C410" t="s">
        <v>903</v>
      </c>
      <c r="D410">
        <v>2016</v>
      </c>
      <c r="F410" s="89">
        <v>966146.77886009903</v>
      </c>
      <c r="G410" s="89" t="s">
        <v>128</v>
      </c>
      <c r="H410" s="89"/>
      <c r="I410" s="89">
        <v>894818.79986009898</v>
      </c>
      <c r="J410" s="89">
        <v>71327.979000000007</v>
      </c>
      <c r="K410" s="89">
        <v>0</v>
      </c>
      <c r="L410" s="89">
        <v>0</v>
      </c>
      <c r="M410" s="89">
        <v>0</v>
      </c>
      <c r="N410" s="89"/>
      <c r="O410" s="89">
        <v>894818.79986009898</v>
      </c>
      <c r="P410" s="89">
        <v>0</v>
      </c>
      <c r="Q410" s="89">
        <v>0</v>
      </c>
      <c r="R410" s="89">
        <v>894818.79986009898</v>
      </c>
      <c r="S410" s="89">
        <v>71327.979000000007</v>
      </c>
      <c r="T410"/>
      <c r="U410" t="s">
        <v>155</v>
      </c>
      <c r="V410" t="s">
        <v>129</v>
      </c>
      <c r="W410" t="s">
        <v>900</v>
      </c>
      <c r="Y410" t="s">
        <v>904</v>
      </c>
      <c r="Z410" t="s">
        <v>131</v>
      </c>
      <c r="AA410" s="90">
        <v>90293</v>
      </c>
      <c r="AB410" t="s">
        <v>132</v>
      </c>
      <c r="AC410" t="s">
        <v>1</v>
      </c>
      <c r="AD410" t="s">
        <v>133</v>
      </c>
    </row>
    <row r="411" spans="2:30" x14ac:dyDescent="0.25">
      <c r="B411">
        <v>101325</v>
      </c>
      <c r="C411" t="s">
        <v>905</v>
      </c>
      <c r="D411">
        <v>2016</v>
      </c>
      <c r="F411" s="89">
        <v>712666.56648459495</v>
      </c>
      <c r="G411" s="89" t="s">
        <v>128</v>
      </c>
      <c r="H411" s="89"/>
      <c r="I411" s="89">
        <v>671023.17648459505</v>
      </c>
      <c r="J411" s="89">
        <v>41643.39</v>
      </c>
      <c r="K411" s="89">
        <v>0</v>
      </c>
      <c r="L411" s="89">
        <v>0</v>
      </c>
      <c r="M411" s="89">
        <v>0</v>
      </c>
      <c r="N411" s="89"/>
      <c r="O411" s="89">
        <v>665596.80031163001</v>
      </c>
      <c r="P411" s="89">
        <v>0</v>
      </c>
      <c r="Q411" s="89">
        <v>0</v>
      </c>
      <c r="R411" s="89">
        <v>665596.80031163001</v>
      </c>
      <c r="S411" s="89">
        <v>47069.766172964999</v>
      </c>
      <c r="T411"/>
      <c r="U411" t="s">
        <v>155</v>
      </c>
      <c r="V411" t="s">
        <v>129</v>
      </c>
      <c r="W411" t="s">
        <v>900</v>
      </c>
      <c r="Y411" t="s">
        <v>906</v>
      </c>
      <c r="Z411" t="s">
        <v>131</v>
      </c>
      <c r="AA411" s="90">
        <v>91352</v>
      </c>
      <c r="AB411" t="s">
        <v>132</v>
      </c>
      <c r="AC411" t="s">
        <v>385</v>
      </c>
      <c r="AD411" t="s">
        <v>140</v>
      </c>
    </row>
    <row r="412" spans="2:30" x14ac:dyDescent="0.25">
      <c r="B412">
        <v>101323</v>
      </c>
      <c r="C412" t="s">
        <v>907</v>
      </c>
      <c r="D412">
        <v>2016</v>
      </c>
      <c r="F412" s="89">
        <v>22662.0677392</v>
      </c>
      <c r="G412" s="89" t="s">
        <v>128</v>
      </c>
      <c r="H412" s="89"/>
      <c r="I412" s="89">
        <v>22662.0677392</v>
      </c>
      <c r="J412" s="89">
        <v>0</v>
      </c>
      <c r="K412" s="89">
        <v>0</v>
      </c>
      <c r="L412" s="89">
        <v>0</v>
      </c>
      <c r="M412" s="89">
        <v>0</v>
      </c>
      <c r="N412" s="89"/>
      <c r="O412" s="89">
        <v>22662.0677392</v>
      </c>
      <c r="P412" s="89">
        <v>0</v>
      </c>
      <c r="Q412" s="89">
        <v>0</v>
      </c>
      <c r="R412" s="89">
        <v>22662.0677392</v>
      </c>
      <c r="S412" s="89">
        <v>0</v>
      </c>
      <c r="T412"/>
      <c r="U412" t="s">
        <v>155</v>
      </c>
      <c r="V412" t="s">
        <v>129</v>
      </c>
      <c r="W412" t="s">
        <v>908</v>
      </c>
      <c r="Y412" t="s">
        <v>320</v>
      </c>
      <c r="Z412" t="s">
        <v>131</v>
      </c>
      <c r="AA412" s="90">
        <v>90045</v>
      </c>
      <c r="AB412" t="s">
        <v>810</v>
      </c>
      <c r="AC412" t="s">
        <v>0</v>
      </c>
      <c r="AD412" t="s">
        <v>143</v>
      </c>
    </row>
    <row r="413" spans="2:30" x14ac:dyDescent="0.25">
      <c r="B413">
        <v>100972</v>
      </c>
      <c r="C413" t="s">
        <v>909</v>
      </c>
      <c r="D413">
        <v>2016</v>
      </c>
      <c r="F413" s="89">
        <v>62662.672963199999</v>
      </c>
      <c r="G413" s="89" t="s">
        <v>128</v>
      </c>
      <c r="H413" s="89"/>
      <c r="I413" s="89">
        <v>62662.672963199999</v>
      </c>
      <c r="J413" s="89">
        <v>0</v>
      </c>
      <c r="K413" s="89">
        <v>0</v>
      </c>
      <c r="L413" s="89">
        <v>0</v>
      </c>
      <c r="M413" s="89">
        <v>0</v>
      </c>
      <c r="N413" s="89"/>
      <c r="O413" s="89">
        <v>62662.672963199999</v>
      </c>
      <c r="P413" s="89">
        <v>0</v>
      </c>
      <c r="Q413" s="89">
        <v>0</v>
      </c>
      <c r="R413" s="89">
        <v>62662.672963199999</v>
      </c>
      <c r="S413" s="89">
        <v>0</v>
      </c>
      <c r="T413"/>
      <c r="U413" t="s">
        <v>155</v>
      </c>
      <c r="V413" t="s">
        <v>155</v>
      </c>
      <c r="W413" t="s">
        <v>368</v>
      </c>
      <c r="Y413" t="s">
        <v>910</v>
      </c>
      <c r="Z413" t="s">
        <v>131</v>
      </c>
      <c r="AA413" s="90">
        <v>93234</v>
      </c>
      <c r="AB413" t="s">
        <v>485</v>
      </c>
      <c r="AC413" t="s">
        <v>0</v>
      </c>
      <c r="AD413" t="s">
        <v>143</v>
      </c>
    </row>
    <row r="414" spans="2:30" x14ac:dyDescent="0.25">
      <c r="B414">
        <v>101162</v>
      </c>
      <c r="C414" t="s">
        <v>911</v>
      </c>
      <c r="D414">
        <v>2016</v>
      </c>
      <c r="F414" s="89">
        <v>39025.582853691601</v>
      </c>
      <c r="G414" s="89" t="s">
        <v>128</v>
      </c>
      <c r="H414" s="89"/>
      <c r="I414" s="89">
        <v>39025.582853691601</v>
      </c>
      <c r="J414" s="89">
        <v>0</v>
      </c>
      <c r="K414" s="89">
        <v>0</v>
      </c>
      <c r="L414" s="89">
        <v>0</v>
      </c>
      <c r="M414" s="89">
        <v>0</v>
      </c>
      <c r="N414" s="89"/>
      <c r="O414" s="89">
        <v>36148.553927044202</v>
      </c>
      <c r="P414" s="89">
        <v>0</v>
      </c>
      <c r="Q414" s="89">
        <v>0</v>
      </c>
      <c r="R414" s="89">
        <v>36148.553927044202</v>
      </c>
      <c r="S414" s="89">
        <v>2877.0289266474001</v>
      </c>
      <c r="T414"/>
      <c r="U414" t="s">
        <v>155</v>
      </c>
      <c r="V414" t="s">
        <v>155</v>
      </c>
      <c r="W414" t="s">
        <v>168</v>
      </c>
      <c r="Y414" t="s">
        <v>912</v>
      </c>
      <c r="Z414" t="s">
        <v>131</v>
      </c>
      <c r="AA414" s="90">
        <v>90280</v>
      </c>
      <c r="AB414" t="s">
        <v>229</v>
      </c>
      <c r="AC414" t="s">
        <v>742</v>
      </c>
      <c r="AD414" t="s">
        <v>230</v>
      </c>
    </row>
    <row r="415" spans="2:30" x14ac:dyDescent="0.25">
      <c r="B415">
        <v>100682</v>
      </c>
      <c r="C415" t="s">
        <v>913</v>
      </c>
      <c r="D415">
        <v>2016</v>
      </c>
      <c r="F415" s="89">
        <v>35968.963093487997</v>
      </c>
      <c r="G415" s="89" t="s">
        <v>128</v>
      </c>
      <c r="H415" s="89"/>
      <c r="I415" s="89">
        <v>35968.963093487997</v>
      </c>
      <c r="J415" s="89">
        <v>0</v>
      </c>
      <c r="K415" s="89">
        <v>0</v>
      </c>
      <c r="L415" s="89">
        <v>0</v>
      </c>
      <c r="M415" s="89">
        <v>0</v>
      </c>
      <c r="N415" s="89"/>
      <c r="O415" s="89">
        <v>35968.963093487997</v>
      </c>
      <c r="P415" s="89">
        <v>0</v>
      </c>
      <c r="Q415" s="89">
        <v>0</v>
      </c>
      <c r="R415" s="89">
        <v>35968.963093487997</v>
      </c>
      <c r="S415" s="89">
        <v>0</v>
      </c>
      <c r="T415"/>
      <c r="U415" t="s">
        <v>155</v>
      </c>
      <c r="V415" t="s">
        <v>129</v>
      </c>
      <c r="W415" t="s">
        <v>364</v>
      </c>
      <c r="Y415" t="s">
        <v>914</v>
      </c>
      <c r="Z415" t="s">
        <v>131</v>
      </c>
      <c r="AA415" s="90">
        <v>93516</v>
      </c>
      <c r="AB415" t="s">
        <v>139</v>
      </c>
      <c r="AC415" t="s">
        <v>0</v>
      </c>
      <c r="AD415" t="s">
        <v>140</v>
      </c>
    </row>
    <row r="416" spans="2:30" x14ac:dyDescent="0.25">
      <c r="B416">
        <v>101291</v>
      </c>
      <c r="C416" t="s">
        <v>915</v>
      </c>
      <c r="D416">
        <v>2016</v>
      </c>
      <c r="F416" s="89">
        <v>22825.031896127999</v>
      </c>
      <c r="G416" s="89" t="s">
        <v>128</v>
      </c>
      <c r="H416" s="89"/>
      <c r="I416" s="89">
        <v>22825.031896127999</v>
      </c>
      <c r="J416" s="89">
        <v>0</v>
      </c>
      <c r="K416" s="89">
        <v>0</v>
      </c>
      <c r="L416" s="89">
        <v>0</v>
      </c>
      <c r="M416" s="89">
        <v>0</v>
      </c>
      <c r="N416" s="89"/>
      <c r="O416" s="89">
        <v>22825.031896127999</v>
      </c>
      <c r="P416" s="89">
        <v>0</v>
      </c>
      <c r="Q416" s="89">
        <v>0</v>
      </c>
      <c r="R416" s="89">
        <v>22825.031896127999</v>
      </c>
      <c r="S416" s="89">
        <v>0</v>
      </c>
      <c r="T416"/>
      <c r="U416" t="s">
        <v>155</v>
      </c>
      <c r="V416" t="s">
        <v>129</v>
      </c>
      <c r="W416" t="s">
        <v>364</v>
      </c>
      <c r="Y416" t="s">
        <v>916</v>
      </c>
      <c r="Z416" t="s">
        <v>131</v>
      </c>
      <c r="AA416" s="90">
        <v>92347</v>
      </c>
      <c r="AB416" t="s">
        <v>139</v>
      </c>
      <c r="AC416" t="s">
        <v>0</v>
      </c>
      <c r="AD416" t="s">
        <v>140</v>
      </c>
    </row>
    <row r="417" spans="2:30" x14ac:dyDescent="0.25">
      <c r="B417">
        <v>101715</v>
      </c>
      <c r="C417" t="s">
        <v>917</v>
      </c>
      <c r="D417">
        <v>2016</v>
      </c>
      <c r="F417" s="89">
        <v>26803.767779453399</v>
      </c>
      <c r="G417" s="89" t="s">
        <v>128</v>
      </c>
      <c r="H417" s="89"/>
      <c r="I417" s="89">
        <v>26169.177779453399</v>
      </c>
      <c r="J417" s="89">
        <v>634.59</v>
      </c>
      <c r="K417" s="89">
        <v>0</v>
      </c>
      <c r="L417" s="89">
        <v>0</v>
      </c>
      <c r="M417" s="89">
        <v>0</v>
      </c>
      <c r="N417" s="89"/>
      <c r="O417" s="89">
        <v>26164.806835102401</v>
      </c>
      <c r="P417" s="89">
        <v>0</v>
      </c>
      <c r="Q417" s="89">
        <v>0</v>
      </c>
      <c r="R417" s="89">
        <v>26164.806835102401</v>
      </c>
      <c r="S417" s="89">
        <v>638.96094435101998</v>
      </c>
      <c r="T417"/>
      <c r="U417" t="s">
        <v>210</v>
      </c>
      <c r="V417" t="s">
        <v>129</v>
      </c>
      <c r="W417" t="s">
        <v>368</v>
      </c>
      <c r="Y417" t="s">
        <v>918</v>
      </c>
      <c r="Z417" t="s">
        <v>131</v>
      </c>
      <c r="AA417" s="90">
        <v>93225</v>
      </c>
      <c r="AB417" t="s">
        <v>919</v>
      </c>
      <c r="AC417" t="s">
        <v>0</v>
      </c>
      <c r="AD417" t="s">
        <v>143</v>
      </c>
    </row>
    <row r="418" spans="2:30" x14ac:dyDescent="0.25">
      <c r="B418">
        <v>101234</v>
      </c>
      <c r="C418" t="s">
        <v>920</v>
      </c>
      <c r="D418">
        <v>2016</v>
      </c>
      <c r="F418" s="89">
        <v>186492.668996416</v>
      </c>
      <c r="G418" s="89" t="s">
        <v>128</v>
      </c>
      <c r="H418" s="89"/>
      <c r="I418" s="89">
        <v>186492.668996416</v>
      </c>
      <c r="J418" s="89">
        <v>0</v>
      </c>
      <c r="K418" s="89">
        <v>0</v>
      </c>
      <c r="L418" s="89">
        <v>0</v>
      </c>
      <c r="M418" s="89">
        <v>0</v>
      </c>
      <c r="N418" s="89"/>
      <c r="O418" s="89">
        <v>186307.01725216</v>
      </c>
      <c r="P418" s="89">
        <v>0</v>
      </c>
      <c r="Q418" s="89">
        <v>0</v>
      </c>
      <c r="R418" s="89">
        <v>186307.01725216</v>
      </c>
      <c r="S418" s="89">
        <v>185.65174425629999</v>
      </c>
      <c r="T418"/>
      <c r="U418" t="s">
        <v>155</v>
      </c>
      <c r="V418" t="s">
        <v>155</v>
      </c>
      <c r="W418" t="s">
        <v>222</v>
      </c>
      <c r="Y418" t="s">
        <v>178</v>
      </c>
      <c r="Z418" t="s">
        <v>131</v>
      </c>
      <c r="AA418" s="90">
        <v>93308</v>
      </c>
      <c r="AB418" t="s">
        <v>170</v>
      </c>
      <c r="AC418" t="s">
        <v>175</v>
      </c>
      <c r="AD418" t="s">
        <v>176</v>
      </c>
    </row>
    <row r="419" spans="2:30" x14ac:dyDescent="0.25">
      <c r="B419">
        <v>2112</v>
      </c>
      <c r="C419" t="s">
        <v>921</v>
      </c>
      <c r="D419">
        <v>2016</v>
      </c>
      <c r="F419" s="89">
        <v>115722.0753</v>
      </c>
      <c r="G419" s="89" t="s">
        <v>128</v>
      </c>
      <c r="H419" s="89"/>
      <c r="I419" s="89">
        <v>0</v>
      </c>
      <c r="J419" s="89">
        <v>0</v>
      </c>
      <c r="K419" s="89">
        <v>0</v>
      </c>
      <c r="L419" s="89">
        <v>0</v>
      </c>
      <c r="M419" s="89">
        <v>115722.0753</v>
      </c>
      <c r="N419" s="89"/>
      <c r="O419" s="89">
        <v>0</v>
      </c>
      <c r="P419" s="89">
        <v>0</v>
      </c>
      <c r="Q419" s="89">
        <v>114904.31630000001</v>
      </c>
      <c r="R419" s="89">
        <v>114904.31630000001</v>
      </c>
      <c r="S419" s="89">
        <v>817.75900000000001</v>
      </c>
      <c r="T419"/>
      <c r="U419" t="s">
        <v>155</v>
      </c>
      <c r="V419" t="s">
        <v>129</v>
      </c>
      <c r="W419" t="s">
        <v>197</v>
      </c>
      <c r="Y419" t="s">
        <v>359</v>
      </c>
      <c r="Z419" t="s">
        <v>360</v>
      </c>
      <c r="AA419" s="90">
        <v>77002</v>
      </c>
      <c r="AB419" t="s">
        <v>158</v>
      </c>
      <c r="AC419" t="s">
        <v>136</v>
      </c>
      <c r="AD419" t="s">
        <v>137</v>
      </c>
    </row>
    <row r="420" spans="2:30" x14ac:dyDescent="0.25">
      <c r="B420">
        <v>104573</v>
      </c>
      <c r="C420" t="s">
        <v>922</v>
      </c>
      <c r="D420">
        <v>2016</v>
      </c>
      <c r="F420" s="89">
        <v>3521.7295199999999</v>
      </c>
      <c r="G420" s="89" t="s">
        <v>128</v>
      </c>
      <c r="H420" s="89"/>
      <c r="I420" s="89">
        <v>0</v>
      </c>
      <c r="J420" s="89">
        <v>0</v>
      </c>
      <c r="K420" s="89">
        <v>0</v>
      </c>
      <c r="L420" s="89">
        <v>0</v>
      </c>
      <c r="M420" s="89">
        <v>3521.7295199999999</v>
      </c>
      <c r="N420" s="89"/>
      <c r="O420" s="89">
        <v>0</v>
      </c>
      <c r="P420" s="89">
        <v>0</v>
      </c>
      <c r="Q420" s="89">
        <v>3521.7295199999999</v>
      </c>
      <c r="R420" s="89">
        <v>3521.7295199999999</v>
      </c>
      <c r="S420" s="89">
        <v>0</v>
      </c>
      <c r="T420"/>
      <c r="U420" t="s">
        <v>155</v>
      </c>
      <c r="V420" t="s">
        <v>129</v>
      </c>
      <c r="W420" t="s">
        <v>372</v>
      </c>
      <c r="Y420" t="s">
        <v>617</v>
      </c>
      <c r="Z420" t="s">
        <v>374</v>
      </c>
      <c r="AA420" s="9" t="s">
        <v>923</v>
      </c>
      <c r="AB420" t="s">
        <v>158</v>
      </c>
      <c r="AC420" t="s">
        <v>136</v>
      </c>
      <c r="AD420" t="s">
        <v>137</v>
      </c>
    </row>
    <row r="421" spans="2:30" x14ac:dyDescent="0.25">
      <c r="B421">
        <v>101192</v>
      </c>
      <c r="C421" t="s">
        <v>924</v>
      </c>
      <c r="D421">
        <v>2016</v>
      </c>
      <c r="F421" s="89">
        <v>45938.746410028798</v>
      </c>
      <c r="G421" s="89" t="s">
        <v>128</v>
      </c>
      <c r="H421" s="89"/>
      <c r="I421" s="89">
        <v>45938.746410028798</v>
      </c>
      <c r="J421" s="89">
        <v>0</v>
      </c>
      <c r="K421" s="89">
        <v>0</v>
      </c>
      <c r="L421" s="89">
        <v>0</v>
      </c>
      <c r="M421" s="89">
        <v>0</v>
      </c>
      <c r="N421" s="89"/>
      <c r="O421" s="89">
        <v>0</v>
      </c>
      <c r="P421" s="89">
        <v>0</v>
      </c>
      <c r="Q421" s="89">
        <v>0</v>
      </c>
      <c r="R421" s="89">
        <v>0</v>
      </c>
      <c r="S421" s="89">
        <v>45938.746410028798</v>
      </c>
      <c r="T421"/>
      <c r="U421" t="s">
        <v>155</v>
      </c>
      <c r="V421" t="s">
        <v>129</v>
      </c>
      <c r="W421" t="s">
        <v>364</v>
      </c>
      <c r="Y421" t="s">
        <v>925</v>
      </c>
      <c r="Z421" t="s">
        <v>131</v>
      </c>
      <c r="AA421" s="90">
        <v>92278</v>
      </c>
      <c r="AB421" t="s">
        <v>675</v>
      </c>
      <c r="AC421" t="s">
        <v>0</v>
      </c>
      <c r="AD421" t="s">
        <v>133</v>
      </c>
    </row>
    <row r="422" spans="2:30" x14ac:dyDescent="0.25">
      <c r="B422">
        <v>101687</v>
      </c>
      <c r="C422" t="s">
        <v>926</v>
      </c>
      <c r="D422">
        <v>2016</v>
      </c>
      <c r="F422" s="89">
        <v>16501.201548000001</v>
      </c>
      <c r="G422" s="89" t="s">
        <v>128</v>
      </c>
      <c r="H422" s="89"/>
      <c r="I422" s="89">
        <v>16501.201548000001</v>
      </c>
      <c r="J422" s="89">
        <v>0</v>
      </c>
      <c r="K422" s="89">
        <v>0</v>
      </c>
      <c r="L422" s="89">
        <v>0</v>
      </c>
      <c r="M422" s="89">
        <v>0</v>
      </c>
      <c r="N422" s="89"/>
      <c r="O422" s="89">
        <v>16501.201548000001</v>
      </c>
      <c r="P422" s="89">
        <v>0</v>
      </c>
      <c r="Q422" s="89">
        <v>0</v>
      </c>
      <c r="R422" s="89">
        <v>16501.201548000001</v>
      </c>
      <c r="S422" s="89">
        <v>0</v>
      </c>
      <c r="T422"/>
      <c r="U422" t="s">
        <v>155</v>
      </c>
      <c r="V422" t="s">
        <v>129</v>
      </c>
      <c r="W422" t="s">
        <v>277</v>
      </c>
      <c r="Y422" t="s">
        <v>395</v>
      </c>
      <c r="Z422" t="s">
        <v>131</v>
      </c>
      <c r="AA422" s="90">
        <v>93725</v>
      </c>
      <c r="AB422" t="s">
        <v>132</v>
      </c>
      <c r="AC422" t="s">
        <v>1</v>
      </c>
      <c r="AD422" t="s">
        <v>140</v>
      </c>
    </row>
    <row r="423" spans="2:30" x14ac:dyDescent="0.25">
      <c r="B423">
        <v>100314</v>
      </c>
      <c r="C423" t="s">
        <v>927</v>
      </c>
      <c r="D423">
        <v>2016</v>
      </c>
      <c r="F423" s="89">
        <v>299543.84050799999</v>
      </c>
      <c r="G423" s="89" t="s">
        <v>128</v>
      </c>
      <c r="H423" s="89"/>
      <c r="I423" s="89">
        <v>286804.720508</v>
      </c>
      <c r="J423" s="89">
        <v>12739.12</v>
      </c>
      <c r="K423" s="89">
        <v>0</v>
      </c>
      <c r="L423" s="89">
        <v>0</v>
      </c>
      <c r="M423" s="89">
        <v>0</v>
      </c>
      <c r="N423" s="89"/>
      <c r="O423" s="89">
        <v>286804.720508</v>
      </c>
      <c r="P423" s="89">
        <v>0</v>
      </c>
      <c r="Q423" s="89">
        <v>0</v>
      </c>
      <c r="R423" s="89">
        <v>286804.720508</v>
      </c>
      <c r="S423" s="89">
        <v>12739.12</v>
      </c>
      <c r="T423"/>
      <c r="U423" t="s">
        <v>155</v>
      </c>
      <c r="V423" t="s">
        <v>129</v>
      </c>
      <c r="W423" t="s">
        <v>197</v>
      </c>
      <c r="Y423" t="s">
        <v>318</v>
      </c>
      <c r="Z423" t="s">
        <v>131</v>
      </c>
      <c r="AA423" s="90">
        <v>90058</v>
      </c>
      <c r="AB423" t="s">
        <v>132</v>
      </c>
      <c r="AC423" t="s">
        <v>1</v>
      </c>
      <c r="AD423" t="s">
        <v>140</v>
      </c>
    </row>
    <row r="424" spans="2:30" x14ac:dyDescent="0.25">
      <c r="B424">
        <v>100210</v>
      </c>
      <c r="C424" t="s">
        <v>928</v>
      </c>
      <c r="D424">
        <v>2016</v>
      </c>
      <c r="F424" s="89">
        <v>92793.034524787203</v>
      </c>
      <c r="G424" s="89" t="s">
        <v>128</v>
      </c>
      <c r="H424" s="89"/>
      <c r="I424" s="89">
        <v>92793.034524787203</v>
      </c>
      <c r="J424" s="89">
        <v>0</v>
      </c>
      <c r="K424" s="89">
        <v>0</v>
      </c>
      <c r="L424" s="89">
        <v>0</v>
      </c>
      <c r="M424" s="89">
        <v>0</v>
      </c>
      <c r="N424" s="89"/>
      <c r="O424" s="89">
        <v>92793.034524787203</v>
      </c>
      <c r="P424" s="89">
        <v>0</v>
      </c>
      <c r="Q424" s="89">
        <v>0</v>
      </c>
      <c r="R424" s="89">
        <v>92793.034524787203</v>
      </c>
      <c r="S424" s="89">
        <v>0</v>
      </c>
      <c r="T424"/>
      <c r="U424" t="s">
        <v>155</v>
      </c>
      <c r="V424" t="s">
        <v>129</v>
      </c>
      <c r="W424" t="s">
        <v>277</v>
      </c>
      <c r="Y424" t="s">
        <v>289</v>
      </c>
      <c r="Z424" t="s">
        <v>131</v>
      </c>
      <c r="AA424" s="90">
        <v>93035</v>
      </c>
      <c r="AB424" t="s">
        <v>132</v>
      </c>
      <c r="AC424" t="s">
        <v>385</v>
      </c>
      <c r="AD424" t="s">
        <v>140</v>
      </c>
    </row>
    <row r="425" spans="2:30" x14ac:dyDescent="0.25">
      <c r="B425">
        <v>104676</v>
      </c>
      <c r="C425" t="s">
        <v>929</v>
      </c>
      <c r="D425">
        <v>2016</v>
      </c>
      <c r="F425" s="89">
        <v>12225.68512</v>
      </c>
      <c r="G425" s="89" t="s">
        <v>128</v>
      </c>
      <c r="H425" s="89"/>
      <c r="I425" s="89">
        <v>0</v>
      </c>
      <c r="J425" s="89">
        <v>0</v>
      </c>
      <c r="K425" s="89">
        <v>12225.68512</v>
      </c>
      <c r="L425" s="89">
        <v>0</v>
      </c>
      <c r="M425" s="89">
        <v>0</v>
      </c>
      <c r="N425" s="89"/>
      <c r="O425" s="89">
        <v>0</v>
      </c>
      <c r="P425" s="89">
        <v>0</v>
      </c>
      <c r="Q425" s="89">
        <v>0</v>
      </c>
      <c r="R425" s="89">
        <v>0</v>
      </c>
      <c r="S425" s="89">
        <v>12225.68512</v>
      </c>
      <c r="T425"/>
      <c r="U425" t="s">
        <v>129</v>
      </c>
      <c r="V425" t="s">
        <v>129</v>
      </c>
      <c r="Y425" t="s">
        <v>930</v>
      </c>
      <c r="Z425" t="s">
        <v>931</v>
      </c>
      <c r="AA425" s="90">
        <v>30501</v>
      </c>
      <c r="AB425" t="s">
        <v>146</v>
      </c>
      <c r="AC425" t="s">
        <v>147</v>
      </c>
      <c r="AD425" t="s">
        <v>148</v>
      </c>
    </row>
    <row r="426" spans="2:30" x14ac:dyDescent="0.25">
      <c r="B426">
        <v>104463</v>
      </c>
      <c r="C426" t="s">
        <v>932</v>
      </c>
      <c r="D426">
        <v>2016</v>
      </c>
      <c r="F426" s="89">
        <v>0</v>
      </c>
      <c r="G426" s="89" t="s">
        <v>128</v>
      </c>
      <c r="H426" s="89"/>
      <c r="I426" s="89">
        <v>0</v>
      </c>
      <c r="J426" s="89">
        <v>0</v>
      </c>
      <c r="K426" s="89">
        <v>0</v>
      </c>
      <c r="L426" s="89">
        <v>0</v>
      </c>
      <c r="M426" s="89">
        <v>0</v>
      </c>
      <c r="N426" s="89"/>
      <c r="O426" s="89">
        <v>0</v>
      </c>
      <c r="P426" s="89">
        <v>0</v>
      </c>
      <c r="Q426" s="89">
        <v>0</v>
      </c>
      <c r="R426" s="89">
        <v>0</v>
      </c>
      <c r="S426" s="89">
        <v>0</v>
      </c>
      <c r="T426"/>
      <c r="U426" t="s">
        <v>129</v>
      </c>
      <c r="V426" t="s">
        <v>129</v>
      </c>
      <c r="Y426" t="s">
        <v>933</v>
      </c>
      <c r="Z426" t="s">
        <v>131</v>
      </c>
      <c r="AA426" s="90">
        <v>94901</v>
      </c>
      <c r="AB426" t="s">
        <v>158</v>
      </c>
      <c r="AC426" t="s">
        <v>136</v>
      </c>
      <c r="AD426" t="s">
        <v>137</v>
      </c>
    </row>
    <row r="427" spans="2:30" x14ac:dyDescent="0.25">
      <c r="B427">
        <v>104169</v>
      </c>
      <c r="C427" t="s">
        <v>934</v>
      </c>
      <c r="D427">
        <v>2016</v>
      </c>
      <c r="F427" s="89">
        <v>49814.001096</v>
      </c>
      <c r="G427" s="89" t="s">
        <v>128</v>
      </c>
      <c r="H427" s="89"/>
      <c r="I427" s="89">
        <v>49814.001096</v>
      </c>
      <c r="J427" s="89">
        <v>0</v>
      </c>
      <c r="K427" s="89">
        <v>0</v>
      </c>
      <c r="L427" s="89">
        <v>0</v>
      </c>
      <c r="M427" s="89">
        <v>0</v>
      </c>
      <c r="N427" s="89"/>
      <c r="O427" s="89">
        <v>49814.001096</v>
      </c>
      <c r="P427" s="89">
        <v>0</v>
      </c>
      <c r="Q427" s="89">
        <v>0</v>
      </c>
      <c r="R427" s="89">
        <v>49814.001096</v>
      </c>
      <c r="S427" s="89">
        <v>0</v>
      </c>
      <c r="T427"/>
      <c r="U427" t="s">
        <v>155</v>
      </c>
      <c r="V427" t="s">
        <v>129</v>
      </c>
      <c r="W427" t="s">
        <v>222</v>
      </c>
      <c r="Y427" t="s">
        <v>935</v>
      </c>
      <c r="Z427" t="s">
        <v>131</v>
      </c>
      <c r="AA427" s="90">
        <v>94514</v>
      </c>
      <c r="AB427" t="s">
        <v>132</v>
      </c>
      <c r="AC427" t="s">
        <v>1</v>
      </c>
      <c r="AD427" t="s">
        <v>140</v>
      </c>
    </row>
    <row r="428" spans="2:30" x14ac:dyDescent="0.25">
      <c r="B428">
        <v>101332</v>
      </c>
      <c r="C428" t="s">
        <v>936</v>
      </c>
      <c r="D428">
        <v>2016</v>
      </c>
      <c r="F428" s="89">
        <v>415323.803482836</v>
      </c>
      <c r="G428" s="89" t="s">
        <v>128</v>
      </c>
      <c r="H428" s="89"/>
      <c r="I428" s="89">
        <v>415323.803482836</v>
      </c>
      <c r="J428" s="89">
        <v>0</v>
      </c>
      <c r="K428" s="89">
        <v>0</v>
      </c>
      <c r="L428" s="89">
        <v>0</v>
      </c>
      <c r="M428" s="89">
        <v>0</v>
      </c>
      <c r="N428" s="89"/>
      <c r="O428" s="89">
        <v>415321.16134559998</v>
      </c>
      <c r="P428" s="89">
        <v>0</v>
      </c>
      <c r="Q428" s="89">
        <v>0</v>
      </c>
      <c r="R428" s="89">
        <v>415321.16134559998</v>
      </c>
      <c r="S428" s="89">
        <v>2.6421372359999999</v>
      </c>
      <c r="T428"/>
      <c r="U428" t="s">
        <v>155</v>
      </c>
      <c r="V428" t="s">
        <v>129</v>
      </c>
      <c r="W428" t="s">
        <v>770</v>
      </c>
      <c r="Y428" t="s">
        <v>205</v>
      </c>
      <c r="Z428" t="s">
        <v>131</v>
      </c>
      <c r="AA428" s="90">
        <v>94553</v>
      </c>
      <c r="AB428" t="s">
        <v>132</v>
      </c>
      <c r="AC428" t="s">
        <v>0</v>
      </c>
      <c r="AD428" t="s">
        <v>133</v>
      </c>
    </row>
    <row r="429" spans="2:30" x14ac:dyDescent="0.25">
      <c r="B429">
        <v>104384</v>
      </c>
      <c r="C429" t="s">
        <v>937</v>
      </c>
      <c r="D429">
        <v>2016</v>
      </c>
      <c r="F429" s="89">
        <v>16855.053101932801</v>
      </c>
      <c r="G429" s="89" t="s">
        <v>128</v>
      </c>
      <c r="H429" s="89"/>
      <c r="I429" s="89">
        <v>16855.053101932801</v>
      </c>
      <c r="J429" s="89">
        <v>0</v>
      </c>
      <c r="K429" s="89">
        <v>0</v>
      </c>
      <c r="L429" s="89">
        <v>0</v>
      </c>
      <c r="M429" s="89">
        <v>0</v>
      </c>
      <c r="N429" s="89"/>
      <c r="O429" s="89">
        <v>0</v>
      </c>
      <c r="P429" s="89">
        <v>0</v>
      </c>
      <c r="Q429" s="89">
        <v>0</v>
      </c>
      <c r="R429" s="89">
        <v>0</v>
      </c>
      <c r="S429" s="89">
        <v>16855.053101932801</v>
      </c>
      <c r="T429"/>
      <c r="U429" t="s">
        <v>129</v>
      </c>
      <c r="V429" t="s">
        <v>129</v>
      </c>
      <c r="Y429" t="s">
        <v>220</v>
      </c>
      <c r="Z429" t="s">
        <v>131</v>
      </c>
      <c r="AA429" s="90">
        <v>92618</v>
      </c>
      <c r="AB429" t="s">
        <v>938</v>
      </c>
      <c r="AC429" t="s">
        <v>0</v>
      </c>
      <c r="AD429" t="s">
        <v>143</v>
      </c>
    </row>
    <row r="430" spans="2:30" x14ac:dyDescent="0.25">
      <c r="B430">
        <v>104633</v>
      </c>
      <c r="C430" t="s">
        <v>939</v>
      </c>
      <c r="D430">
        <v>2016</v>
      </c>
      <c r="F430" s="89">
        <v>21653.581981984898</v>
      </c>
      <c r="G430" s="89" t="s">
        <v>128</v>
      </c>
      <c r="H430" s="89"/>
      <c r="I430" s="89">
        <v>21653.581981984898</v>
      </c>
      <c r="J430" s="89">
        <v>0</v>
      </c>
      <c r="K430" s="89">
        <v>0</v>
      </c>
      <c r="L430" s="89">
        <v>0</v>
      </c>
      <c r="M430" s="89">
        <v>0</v>
      </c>
      <c r="N430" s="89"/>
      <c r="O430" s="89">
        <v>0</v>
      </c>
      <c r="P430" s="89">
        <v>0</v>
      </c>
      <c r="Q430" s="89">
        <v>0</v>
      </c>
      <c r="R430" s="89">
        <v>0</v>
      </c>
      <c r="S430" s="89">
        <v>21653.581981984898</v>
      </c>
      <c r="T430"/>
      <c r="U430" t="s">
        <v>129</v>
      </c>
      <c r="V430" t="s">
        <v>129</v>
      </c>
      <c r="Y430" t="s">
        <v>320</v>
      </c>
      <c r="Z430" t="s">
        <v>131</v>
      </c>
      <c r="AA430" s="90">
        <v>90007</v>
      </c>
      <c r="AB430" t="s">
        <v>940</v>
      </c>
      <c r="AC430" t="s">
        <v>0</v>
      </c>
      <c r="AD430" t="s">
        <v>143</v>
      </c>
    </row>
    <row r="431" spans="2:30" x14ac:dyDescent="0.25">
      <c r="B431">
        <v>104613</v>
      </c>
      <c r="C431" t="s">
        <v>941</v>
      </c>
      <c r="D431">
        <v>2016</v>
      </c>
      <c r="F431" s="89">
        <v>12865.342736000001</v>
      </c>
      <c r="G431" s="89" t="s">
        <v>128</v>
      </c>
      <c r="H431" s="89"/>
      <c r="I431" s="89">
        <v>12865.342736000001</v>
      </c>
      <c r="J431" s="89">
        <v>0</v>
      </c>
      <c r="K431" s="89">
        <v>0</v>
      </c>
      <c r="L431" s="89">
        <v>0</v>
      </c>
      <c r="M431" s="89">
        <v>0</v>
      </c>
      <c r="N431" s="89"/>
      <c r="O431" s="89">
        <v>0</v>
      </c>
      <c r="P431" s="89">
        <v>0</v>
      </c>
      <c r="Q431" s="89">
        <v>0</v>
      </c>
      <c r="R431" s="89">
        <v>0</v>
      </c>
      <c r="S431" s="89">
        <v>12865.342736000001</v>
      </c>
      <c r="T431"/>
      <c r="U431" t="s">
        <v>129</v>
      </c>
      <c r="V431" t="s">
        <v>129</v>
      </c>
      <c r="Y431" t="s">
        <v>875</v>
      </c>
      <c r="Z431" t="s">
        <v>131</v>
      </c>
      <c r="AA431" s="90">
        <v>93908</v>
      </c>
      <c r="AB431" t="s">
        <v>942</v>
      </c>
      <c r="AC431" t="s">
        <v>0</v>
      </c>
      <c r="AD431" t="s">
        <v>143</v>
      </c>
    </row>
    <row r="432" spans="2:30" x14ac:dyDescent="0.25">
      <c r="B432">
        <v>100296</v>
      </c>
      <c r="C432" t="s">
        <v>943</v>
      </c>
      <c r="D432">
        <v>2016</v>
      </c>
      <c r="F432" s="89">
        <v>3603.97569488</v>
      </c>
      <c r="G432" s="89" t="s">
        <v>128</v>
      </c>
      <c r="H432" s="89"/>
      <c r="I432" s="89">
        <v>3603.97569488</v>
      </c>
      <c r="J432" s="89">
        <v>0</v>
      </c>
      <c r="K432" s="89">
        <v>0</v>
      </c>
      <c r="L432" s="89">
        <v>0</v>
      </c>
      <c r="M432" s="89">
        <v>0</v>
      </c>
      <c r="N432" s="89"/>
      <c r="O432" s="89">
        <v>3603.97569488</v>
      </c>
      <c r="P432" s="89">
        <v>0</v>
      </c>
      <c r="Q432" s="89">
        <v>0</v>
      </c>
      <c r="R432" s="89">
        <v>3603.97569488</v>
      </c>
      <c r="S432" s="89">
        <v>0</v>
      </c>
      <c r="T432"/>
      <c r="U432" t="s">
        <v>155</v>
      </c>
      <c r="V432" t="s">
        <v>129</v>
      </c>
      <c r="W432" t="s">
        <v>277</v>
      </c>
      <c r="Y432" t="s">
        <v>169</v>
      </c>
      <c r="Z432" t="s">
        <v>131</v>
      </c>
      <c r="AA432" s="90">
        <v>93251</v>
      </c>
      <c r="AB432" t="s">
        <v>132</v>
      </c>
      <c r="AC432" t="s">
        <v>0</v>
      </c>
      <c r="AD432" t="s">
        <v>133</v>
      </c>
    </row>
    <row r="433" spans="2:30" x14ac:dyDescent="0.25">
      <c r="B433">
        <v>3044</v>
      </c>
      <c r="C433" t="s">
        <v>944</v>
      </c>
      <c r="D433">
        <v>2016</v>
      </c>
      <c r="F433" s="89">
        <v>0</v>
      </c>
      <c r="G433" s="89" t="s">
        <v>128</v>
      </c>
      <c r="H433" s="89"/>
      <c r="I433" s="89">
        <v>0</v>
      </c>
      <c r="J433" s="89">
        <v>0</v>
      </c>
      <c r="K433" s="89">
        <v>0</v>
      </c>
      <c r="L433" s="89">
        <v>0</v>
      </c>
      <c r="M433" s="89">
        <v>0</v>
      </c>
      <c r="N433" s="89"/>
      <c r="O433" s="89">
        <v>0</v>
      </c>
      <c r="P433" s="89">
        <v>0</v>
      </c>
      <c r="Q433" s="89">
        <v>0</v>
      </c>
      <c r="R433" s="89">
        <v>0</v>
      </c>
      <c r="S433" s="89">
        <v>0</v>
      </c>
      <c r="T433"/>
      <c r="U433" t="s">
        <v>129</v>
      </c>
      <c r="V433" t="s">
        <v>129</v>
      </c>
      <c r="Y433" t="s">
        <v>945</v>
      </c>
      <c r="Z433" t="s">
        <v>131</v>
      </c>
      <c r="AA433" s="90">
        <v>95340</v>
      </c>
      <c r="AB433" t="s">
        <v>158</v>
      </c>
      <c r="AC433" t="s">
        <v>136</v>
      </c>
      <c r="AD433" t="s">
        <v>137</v>
      </c>
    </row>
    <row r="434" spans="2:30" x14ac:dyDescent="0.25">
      <c r="B434">
        <v>101665</v>
      </c>
      <c r="C434" t="s">
        <v>946</v>
      </c>
      <c r="D434">
        <v>2016</v>
      </c>
      <c r="F434" s="89">
        <v>108235.59835972601</v>
      </c>
      <c r="G434" s="89" t="s">
        <v>128</v>
      </c>
      <c r="H434" s="89"/>
      <c r="I434" s="89">
        <v>1924.1983597262999</v>
      </c>
      <c r="J434" s="89">
        <v>106311.4</v>
      </c>
      <c r="K434" s="89">
        <v>0</v>
      </c>
      <c r="L434" s="89">
        <v>0</v>
      </c>
      <c r="M434" s="89">
        <v>0</v>
      </c>
      <c r="N434" s="89"/>
      <c r="O434" s="89">
        <v>0</v>
      </c>
      <c r="P434" s="89">
        <v>0</v>
      </c>
      <c r="Q434" s="89">
        <v>0</v>
      </c>
      <c r="R434" s="89">
        <v>0</v>
      </c>
      <c r="S434" s="89">
        <v>108235.59835972601</v>
      </c>
      <c r="T434"/>
      <c r="U434" t="s">
        <v>155</v>
      </c>
      <c r="V434" t="s">
        <v>129</v>
      </c>
      <c r="W434" t="s">
        <v>232</v>
      </c>
      <c r="Y434" t="s">
        <v>945</v>
      </c>
      <c r="Z434" t="s">
        <v>131</v>
      </c>
      <c r="AA434" s="90">
        <v>95340</v>
      </c>
      <c r="AB434" t="s">
        <v>139</v>
      </c>
      <c r="AC434" t="s">
        <v>0</v>
      </c>
      <c r="AD434" t="s">
        <v>140</v>
      </c>
    </row>
    <row r="435" spans="2:30" x14ac:dyDescent="0.25">
      <c r="B435">
        <v>2046</v>
      </c>
      <c r="C435" t="s">
        <v>947</v>
      </c>
      <c r="D435">
        <v>2016</v>
      </c>
      <c r="F435" s="89">
        <v>174.624</v>
      </c>
      <c r="G435" s="89" t="s">
        <v>128</v>
      </c>
      <c r="H435" s="89"/>
      <c r="I435" s="89">
        <v>0</v>
      </c>
      <c r="J435" s="89">
        <v>0</v>
      </c>
      <c r="K435" s="89">
        <v>0</v>
      </c>
      <c r="L435" s="89">
        <v>0</v>
      </c>
      <c r="M435" s="89">
        <v>174.624</v>
      </c>
      <c r="N435" s="89"/>
      <c r="O435" s="89">
        <v>0</v>
      </c>
      <c r="P435" s="89">
        <v>0</v>
      </c>
      <c r="Q435" s="89">
        <v>174.624</v>
      </c>
      <c r="R435" s="89">
        <v>174.624</v>
      </c>
      <c r="S435" s="89">
        <v>0</v>
      </c>
      <c r="T435"/>
      <c r="U435" t="s">
        <v>155</v>
      </c>
      <c r="V435" t="s">
        <v>129</v>
      </c>
      <c r="W435" t="s">
        <v>337</v>
      </c>
      <c r="Y435" t="s">
        <v>320</v>
      </c>
      <c r="Z435" t="s">
        <v>131</v>
      </c>
      <c r="AA435" s="90">
        <v>90012</v>
      </c>
      <c r="AB435" t="s">
        <v>665</v>
      </c>
      <c r="AC435" t="s">
        <v>136</v>
      </c>
      <c r="AD435" t="s">
        <v>137</v>
      </c>
    </row>
    <row r="436" spans="2:30" x14ac:dyDescent="0.25">
      <c r="B436">
        <v>101515</v>
      </c>
      <c r="C436" t="s">
        <v>948</v>
      </c>
      <c r="D436">
        <v>2016</v>
      </c>
      <c r="F436" s="89">
        <v>194174.715056844</v>
      </c>
      <c r="G436" s="89" t="s">
        <v>128</v>
      </c>
      <c r="H436" s="89"/>
      <c r="I436" s="89">
        <v>194174.715056844</v>
      </c>
      <c r="J436" s="89">
        <v>0</v>
      </c>
      <c r="K436" s="89">
        <v>0</v>
      </c>
      <c r="L436" s="89">
        <v>0</v>
      </c>
      <c r="M436" s="89">
        <v>0</v>
      </c>
      <c r="N436" s="89"/>
      <c r="O436" s="89">
        <v>194174.715056844</v>
      </c>
      <c r="P436" s="89">
        <v>0</v>
      </c>
      <c r="Q436" s="89">
        <v>0</v>
      </c>
      <c r="R436" s="89">
        <v>194174.715056844</v>
      </c>
      <c r="S436" s="89">
        <v>0</v>
      </c>
      <c r="T436"/>
      <c r="U436" t="s">
        <v>155</v>
      </c>
      <c r="V436" t="s">
        <v>129</v>
      </c>
      <c r="W436" t="s">
        <v>368</v>
      </c>
      <c r="Y436" t="s">
        <v>949</v>
      </c>
      <c r="Z436" t="s">
        <v>131</v>
      </c>
      <c r="AA436" s="90">
        <v>93224</v>
      </c>
      <c r="AB436" t="s">
        <v>132</v>
      </c>
      <c r="AC436" t="s">
        <v>0</v>
      </c>
      <c r="AD436" t="s">
        <v>133</v>
      </c>
    </row>
    <row r="437" spans="2:30" x14ac:dyDescent="0.25">
      <c r="B437">
        <v>101744</v>
      </c>
      <c r="C437" t="s">
        <v>950</v>
      </c>
      <c r="D437">
        <v>2016</v>
      </c>
      <c r="F437" s="89">
        <v>24962.7539</v>
      </c>
      <c r="G437" s="89" t="s">
        <v>128</v>
      </c>
      <c r="H437" s="89"/>
      <c r="I437" s="89">
        <v>24962.7539</v>
      </c>
      <c r="J437" s="89">
        <v>0</v>
      </c>
      <c r="K437" s="89">
        <v>0</v>
      </c>
      <c r="L437" s="89">
        <v>0</v>
      </c>
      <c r="M437" s="89">
        <v>0</v>
      </c>
      <c r="N437" s="89"/>
      <c r="O437" s="89">
        <v>24962.7539</v>
      </c>
      <c r="P437" s="89">
        <v>0</v>
      </c>
      <c r="Q437" s="89">
        <v>0</v>
      </c>
      <c r="R437" s="89">
        <v>24962.7539</v>
      </c>
      <c r="S437" s="89">
        <v>0</v>
      </c>
      <c r="T437"/>
      <c r="U437" t="s">
        <v>155</v>
      </c>
      <c r="V437" t="s">
        <v>129</v>
      </c>
      <c r="W437" t="s">
        <v>277</v>
      </c>
      <c r="Y437" t="s">
        <v>446</v>
      </c>
      <c r="Z437" t="s">
        <v>131</v>
      </c>
      <c r="AA437" s="90">
        <v>93622</v>
      </c>
      <c r="AB437" t="s">
        <v>132</v>
      </c>
      <c r="AC437" t="s">
        <v>1</v>
      </c>
      <c r="AD437" t="s">
        <v>140</v>
      </c>
    </row>
    <row r="438" spans="2:30" x14ac:dyDescent="0.25">
      <c r="B438">
        <v>100215</v>
      </c>
      <c r="C438" t="s">
        <v>951</v>
      </c>
      <c r="D438">
        <v>2016</v>
      </c>
      <c r="F438" s="89">
        <v>579763.22211225599</v>
      </c>
      <c r="G438" s="89" t="s">
        <v>128</v>
      </c>
      <c r="H438" s="89"/>
      <c r="I438" s="89">
        <v>579763.22211225599</v>
      </c>
      <c r="J438" s="89">
        <v>0</v>
      </c>
      <c r="K438" s="89">
        <v>0</v>
      </c>
      <c r="L438" s="89">
        <v>0</v>
      </c>
      <c r="M438" s="89">
        <v>0</v>
      </c>
      <c r="N438" s="89"/>
      <c r="O438" s="89">
        <v>579763.22211225599</v>
      </c>
      <c r="P438" s="89">
        <v>0</v>
      </c>
      <c r="Q438" s="89">
        <v>0</v>
      </c>
      <c r="R438" s="89">
        <v>579763.22211225599</v>
      </c>
      <c r="S438" s="89">
        <v>0</v>
      </c>
      <c r="T438"/>
      <c r="U438" t="s">
        <v>155</v>
      </c>
      <c r="V438" t="s">
        <v>129</v>
      </c>
      <c r="W438" t="s">
        <v>215</v>
      </c>
      <c r="Y438" t="s">
        <v>949</v>
      </c>
      <c r="Z438" t="s">
        <v>131</v>
      </c>
      <c r="AA438" s="90">
        <v>93224</v>
      </c>
      <c r="AB438" t="s">
        <v>132</v>
      </c>
      <c r="AC438" t="s">
        <v>0</v>
      </c>
      <c r="AD438" t="s">
        <v>133</v>
      </c>
    </row>
    <row r="439" spans="2:30" x14ac:dyDescent="0.25">
      <c r="B439">
        <v>104737</v>
      </c>
      <c r="C439" t="s">
        <v>1516</v>
      </c>
      <c r="D439">
        <v>2016</v>
      </c>
      <c r="F439" s="89">
        <v>12657.618928</v>
      </c>
      <c r="G439" s="89" t="s">
        <v>128</v>
      </c>
      <c r="H439" s="89"/>
      <c r="I439" s="89">
        <v>12657.618928</v>
      </c>
      <c r="J439" s="89">
        <v>0</v>
      </c>
      <c r="K439" s="89">
        <v>0</v>
      </c>
      <c r="L439" s="89">
        <v>0</v>
      </c>
      <c r="M439" s="89">
        <v>0</v>
      </c>
      <c r="N439" s="89"/>
      <c r="O439" s="89">
        <v>0</v>
      </c>
      <c r="P439" s="89">
        <v>0</v>
      </c>
      <c r="Q439" s="89">
        <v>0</v>
      </c>
      <c r="R439" s="89">
        <v>0</v>
      </c>
      <c r="S439" s="89">
        <v>12657.618928</v>
      </c>
      <c r="T439"/>
      <c r="U439" t="s">
        <v>129</v>
      </c>
      <c r="V439" t="s">
        <v>129</v>
      </c>
      <c r="Y439" t="s">
        <v>403</v>
      </c>
      <c r="Z439" t="s">
        <v>131</v>
      </c>
      <c r="AA439" s="90">
        <v>93291</v>
      </c>
      <c r="AB439" t="s">
        <v>393</v>
      </c>
      <c r="AC439" t="s">
        <v>0</v>
      </c>
      <c r="AD439" t="s">
        <v>143</v>
      </c>
    </row>
    <row r="440" spans="2:30" x14ac:dyDescent="0.25">
      <c r="B440">
        <v>101297</v>
      </c>
      <c r="C440" t="s">
        <v>952</v>
      </c>
      <c r="D440">
        <v>2016</v>
      </c>
      <c r="F440" s="89">
        <v>24179.463078302699</v>
      </c>
      <c r="G440" s="89" t="s">
        <v>128</v>
      </c>
      <c r="H440" s="89"/>
      <c r="I440" s="89">
        <v>21600.8630783027</v>
      </c>
      <c r="J440" s="89">
        <v>2578.6</v>
      </c>
      <c r="K440" s="89">
        <v>0</v>
      </c>
      <c r="L440" s="89">
        <v>0</v>
      </c>
      <c r="M440" s="89">
        <v>0</v>
      </c>
      <c r="N440" s="89"/>
      <c r="O440" s="89">
        <v>21600.8630783027</v>
      </c>
      <c r="P440" s="89">
        <v>0</v>
      </c>
      <c r="Q440" s="89">
        <v>0</v>
      </c>
      <c r="R440" s="89">
        <v>21600.8630783027</v>
      </c>
      <c r="S440" s="89">
        <v>2578.6</v>
      </c>
      <c r="T440"/>
      <c r="U440" t="s">
        <v>155</v>
      </c>
      <c r="V440" t="s">
        <v>155</v>
      </c>
      <c r="W440" t="s">
        <v>215</v>
      </c>
      <c r="Y440" t="s">
        <v>953</v>
      </c>
      <c r="Z440" t="s">
        <v>131</v>
      </c>
      <c r="AA440" s="90">
        <v>91706</v>
      </c>
      <c r="AB440" t="s">
        <v>271</v>
      </c>
      <c r="AC440" t="s">
        <v>0</v>
      </c>
      <c r="AD440" t="s">
        <v>143</v>
      </c>
    </row>
    <row r="441" spans="2:30" x14ac:dyDescent="0.25">
      <c r="B441">
        <v>104397</v>
      </c>
      <c r="C441" t="s">
        <v>954</v>
      </c>
      <c r="D441">
        <v>2016</v>
      </c>
      <c r="F441" s="89">
        <v>11249.831056000001</v>
      </c>
      <c r="G441" s="89" t="s">
        <v>128</v>
      </c>
      <c r="H441" s="89"/>
      <c r="I441" s="89">
        <v>11249.831056000001</v>
      </c>
      <c r="J441" s="89">
        <v>0</v>
      </c>
      <c r="K441" s="89">
        <v>0</v>
      </c>
      <c r="L441" s="89">
        <v>0</v>
      </c>
      <c r="M441" s="89">
        <v>0</v>
      </c>
      <c r="N441" s="89"/>
      <c r="O441" s="89">
        <v>0</v>
      </c>
      <c r="P441" s="89">
        <v>0</v>
      </c>
      <c r="Q441" s="89">
        <v>0</v>
      </c>
      <c r="R441" s="89">
        <v>0</v>
      </c>
      <c r="S441" s="89">
        <v>11249.831056000001</v>
      </c>
      <c r="T441"/>
      <c r="U441" t="s">
        <v>129</v>
      </c>
      <c r="V441" t="s">
        <v>129</v>
      </c>
      <c r="Y441" t="s">
        <v>955</v>
      </c>
      <c r="Z441" t="s">
        <v>131</v>
      </c>
      <c r="AA441" s="90">
        <v>91752</v>
      </c>
      <c r="AB441" t="s">
        <v>956</v>
      </c>
      <c r="AC441" t="s">
        <v>0</v>
      </c>
      <c r="AD441" t="s">
        <v>143</v>
      </c>
    </row>
    <row r="442" spans="2:30" x14ac:dyDescent="0.25">
      <c r="B442">
        <v>100036</v>
      </c>
      <c r="C442" t="s">
        <v>957</v>
      </c>
      <c r="D442">
        <v>2016</v>
      </c>
      <c r="F442" s="89">
        <v>52045.278071366803</v>
      </c>
      <c r="G442" s="89" t="s">
        <v>128</v>
      </c>
      <c r="H442" s="89"/>
      <c r="I442" s="89">
        <v>287.07807136679997</v>
      </c>
      <c r="J442" s="89">
        <v>51758.2</v>
      </c>
      <c r="K442" s="89">
        <v>0</v>
      </c>
      <c r="L442" s="89">
        <v>0</v>
      </c>
      <c r="M442" s="89">
        <v>0</v>
      </c>
      <c r="N442" s="89"/>
      <c r="O442" s="89">
        <v>0</v>
      </c>
      <c r="P442" s="89">
        <v>0</v>
      </c>
      <c r="Q442" s="89">
        <v>0</v>
      </c>
      <c r="R442" s="89">
        <v>0</v>
      </c>
      <c r="S442" s="89">
        <v>52045.278071366803</v>
      </c>
      <c r="T442"/>
      <c r="U442" t="s">
        <v>155</v>
      </c>
      <c r="V442" t="s">
        <v>129</v>
      </c>
      <c r="W442" t="s">
        <v>156</v>
      </c>
      <c r="Y442" t="s">
        <v>283</v>
      </c>
      <c r="Z442" t="s">
        <v>131</v>
      </c>
      <c r="AA442" s="90">
        <v>92111</v>
      </c>
      <c r="AB442" t="s">
        <v>139</v>
      </c>
      <c r="AC442" t="s">
        <v>0</v>
      </c>
      <c r="AD442" t="s">
        <v>140</v>
      </c>
    </row>
    <row r="443" spans="2:30" x14ac:dyDescent="0.25">
      <c r="B443">
        <v>104629</v>
      </c>
      <c r="C443" t="s">
        <v>958</v>
      </c>
      <c r="D443">
        <v>2016</v>
      </c>
      <c r="F443" s="89">
        <v>14434.628704000001</v>
      </c>
      <c r="G443" s="89" t="s">
        <v>128</v>
      </c>
      <c r="H443" s="89"/>
      <c r="I443" s="89">
        <v>14434.628704000001</v>
      </c>
      <c r="J443" s="89">
        <v>0</v>
      </c>
      <c r="K443" s="89">
        <v>0</v>
      </c>
      <c r="L443" s="89">
        <v>0</v>
      </c>
      <c r="M443" s="89">
        <v>0</v>
      </c>
      <c r="N443" s="89"/>
      <c r="O443" s="89">
        <v>0</v>
      </c>
      <c r="P443" s="89">
        <v>0</v>
      </c>
      <c r="Q443" s="89">
        <v>0</v>
      </c>
      <c r="R443" s="89">
        <v>0</v>
      </c>
      <c r="S443" s="89">
        <v>14434.628704000001</v>
      </c>
      <c r="T443"/>
      <c r="U443" t="s">
        <v>129</v>
      </c>
      <c r="V443" t="s">
        <v>129</v>
      </c>
      <c r="Y443" t="s">
        <v>293</v>
      </c>
      <c r="Z443" t="s">
        <v>131</v>
      </c>
      <c r="AA443" s="90">
        <v>93637</v>
      </c>
      <c r="AB443" t="s">
        <v>657</v>
      </c>
      <c r="AC443" t="s">
        <v>0</v>
      </c>
      <c r="AD443" t="s">
        <v>143</v>
      </c>
    </row>
    <row r="444" spans="2:30" x14ac:dyDescent="0.25">
      <c r="B444">
        <v>104658</v>
      </c>
      <c r="C444" t="s">
        <v>959</v>
      </c>
      <c r="D444">
        <v>2016</v>
      </c>
      <c r="F444" s="89">
        <v>12606.5158992</v>
      </c>
      <c r="G444" s="89" t="s">
        <v>128</v>
      </c>
      <c r="H444" s="89"/>
      <c r="I444" s="89">
        <v>12606.5158992</v>
      </c>
      <c r="J444" s="89">
        <v>0</v>
      </c>
      <c r="K444" s="89">
        <v>0</v>
      </c>
      <c r="L444" s="89">
        <v>0</v>
      </c>
      <c r="M444" s="89">
        <v>0</v>
      </c>
      <c r="N444" s="89"/>
      <c r="O444" s="89">
        <v>0</v>
      </c>
      <c r="P444" s="89">
        <v>0</v>
      </c>
      <c r="Q444" s="89">
        <v>0</v>
      </c>
      <c r="R444" s="89">
        <v>0</v>
      </c>
      <c r="S444" s="89">
        <v>12606.5158992</v>
      </c>
      <c r="T444"/>
      <c r="U444" t="s">
        <v>129</v>
      </c>
      <c r="V444" t="s">
        <v>129</v>
      </c>
      <c r="Y444" t="s">
        <v>693</v>
      </c>
      <c r="Z444" t="s">
        <v>131</v>
      </c>
      <c r="AA444" s="90">
        <v>91730</v>
      </c>
      <c r="AB444" t="s">
        <v>960</v>
      </c>
      <c r="AC444" t="s">
        <v>0</v>
      </c>
      <c r="AD444" t="s">
        <v>143</v>
      </c>
    </row>
    <row r="445" spans="2:30" x14ac:dyDescent="0.25">
      <c r="B445">
        <v>101010</v>
      </c>
      <c r="C445" t="s">
        <v>961</v>
      </c>
      <c r="D445">
        <v>2016</v>
      </c>
      <c r="F445" s="89">
        <v>1319439.6353404899</v>
      </c>
      <c r="G445" s="89" t="s">
        <v>128</v>
      </c>
      <c r="H445" s="89"/>
      <c r="I445" s="89">
        <v>1267730.6353404899</v>
      </c>
      <c r="J445" s="89">
        <v>51709</v>
      </c>
      <c r="K445" s="89">
        <v>0</v>
      </c>
      <c r="L445" s="89">
        <v>0</v>
      </c>
      <c r="M445" s="89">
        <v>0</v>
      </c>
      <c r="N445" s="89"/>
      <c r="O445" s="89">
        <v>1267730.6353404899</v>
      </c>
      <c r="P445" s="89">
        <v>0</v>
      </c>
      <c r="Q445" s="89">
        <v>0</v>
      </c>
      <c r="R445" s="89">
        <v>1267730.6353404899</v>
      </c>
      <c r="S445" s="89">
        <v>51709</v>
      </c>
      <c r="T445"/>
      <c r="U445" t="s">
        <v>210</v>
      </c>
      <c r="V445" t="s">
        <v>155</v>
      </c>
      <c r="W445" t="s">
        <v>168</v>
      </c>
      <c r="Y445" t="s">
        <v>962</v>
      </c>
      <c r="Z445" t="s">
        <v>131</v>
      </c>
      <c r="AA445" s="90">
        <v>92356</v>
      </c>
      <c r="AB445" t="s">
        <v>478</v>
      </c>
      <c r="AC445" t="s">
        <v>479</v>
      </c>
      <c r="AD445" t="s">
        <v>480</v>
      </c>
    </row>
    <row r="446" spans="2:30" x14ac:dyDescent="0.25">
      <c r="B446">
        <v>101217</v>
      </c>
      <c r="C446" t="s">
        <v>963</v>
      </c>
      <c r="D446">
        <v>2016</v>
      </c>
      <c r="F446" s="89">
        <v>27473.4797296</v>
      </c>
      <c r="G446" s="89" t="s">
        <v>128</v>
      </c>
      <c r="H446" s="89"/>
      <c r="I446" s="89">
        <v>27473.4797296</v>
      </c>
      <c r="J446" s="89">
        <v>0</v>
      </c>
      <c r="K446" s="89">
        <v>0</v>
      </c>
      <c r="L446" s="89">
        <v>0</v>
      </c>
      <c r="M446" s="89">
        <v>0</v>
      </c>
      <c r="N446" s="89"/>
      <c r="O446" s="89">
        <v>27473.4797296</v>
      </c>
      <c r="P446" s="89">
        <v>0</v>
      </c>
      <c r="Q446" s="89">
        <v>0</v>
      </c>
      <c r="R446" s="89">
        <v>27473.4797296</v>
      </c>
      <c r="S446" s="89">
        <v>0</v>
      </c>
      <c r="T446"/>
      <c r="U446" t="s">
        <v>155</v>
      </c>
      <c r="V446" t="s">
        <v>155</v>
      </c>
      <c r="W446" t="s">
        <v>277</v>
      </c>
      <c r="Y446" t="s">
        <v>487</v>
      </c>
      <c r="Z446" t="s">
        <v>131</v>
      </c>
      <c r="AA446" s="90">
        <v>95205</v>
      </c>
      <c r="AB446" t="s">
        <v>485</v>
      </c>
      <c r="AC446" t="s">
        <v>0</v>
      </c>
      <c r="AD446" t="s">
        <v>143</v>
      </c>
    </row>
    <row r="447" spans="2:30" x14ac:dyDescent="0.25">
      <c r="B447">
        <v>100088</v>
      </c>
      <c r="C447" t="s">
        <v>964</v>
      </c>
      <c r="D447">
        <v>2016</v>
      </c>
      <c r="F447" s="89">
        <v>20895.1492023256</v>
      </c>
      <c r="G447" s="89" t="s">
        <v>128</v>
      </c>
      <c r="H447" s="89"/>
      <c r="I447" s="89">
        <v>104.84920232566699</v>
      </c>
      <c r="J447" s="89">
        <v>20790.3</v>
      </c>
      <c r="K447" s="89">
        <v>0</v>
      </c>
      <c r="L447" s="89">
        <v>0</v>
      </c>
      <c r="M447" s="89">
        <v>0</v>
      </c>
      <c r="N447" s="89"/>
      <c r="O447" s="89">
        <v>0</v>
      </c>
      <c r="P447" s="89">
        <v>0</v>
      </c>
      <c r="Q447" s="89">
        <v>0</v>
      </c>
      <c r="R447" s="89">
        <v>0</v>
      </c>
      <c r="S447" s="89">
        <v>20895.1492023256</v>
      </c>
      <c r="T447"/>
      <c r="U447" t="s">
        <v>129</v>
      </c>
      <c r="V447" t="s">
        <v>129</v>
      </c>
      <c r="Y447" t="s">
        <v>965</v>
      </c>
      <c r="Z447" t="s">
        <v>131</v>
      </c>
      <c r="AA447" s="90">
        <v>91342</v>
      </c>
      <c r="AB447" t="s">
        <v>139</v>
      </c>
      <c r="AC447" t="s">
        <v>0</v>
      </c>
      <c r="AD447" t="s">
        <v>140</v>
      </c>
    </row>
    <row r="448" spans="2:30" x14ac:dyDescent="0.25">
      <c r="B448">
        <v>101711</v>
      </c>
      <c r="C448" t="s">
        <v>966</v>
      </c>
      <c r="D448">
        <v>2016</v>
      </c>
      <c r="F448" s="89">
        <v>28674.3930878221</v>
      </c>
      <c r="G448" s="89" t="s">
        <v>128</v>
      </c>
      <c r="H448" s="89"/>
      <c r="I448" s="89">
        <v>144.39308782215701</v>
      </c>
      <c r="J448" s="89">
        <v>28530</v>
      </c>
      <c r="K448" s="89">
        <v>0</v>
      </c>
      <c r="L448" s="89">
        <v>0</v>
      </c>
      <c r="M448" s="89">
        <v>0</v>
      </c>
      <c r="N448" s="89"/>
      <c r="O448" s="89">
        <v>0</v>
      </c>
      <c r="P448" s="89">
        <v>0</v>
      </c>
      <c r="Q448" s="89">
        <v>0</v>
      </c>
      <c r="R448" s="89">
        <v>0</v>
      </c>
      <c r="S448" s="89">
        <v>28674.3930878221</v>
      </c>
      <c r="T448"/>
      <c r="U448" t="s">
        <v>155</v>
      </c>
      <c r="V448" t="s">
        <v>129</v>
      </c>
      <c r="W448" t="s">
        <v>156</v>
      </c>
      <c r="Y448" t="s">
        <v>967</v>
      </c>
      <c r="Z448" t="s">
        <v>131</v>
      </c>
      <c r="AA448" s="90">
        <v>92675</v>
      </c>
      <c r="AB448" t="s">
        <v>139</v>
      </c>
      <c r="AC448" t="s">
        <v>0</v>
      </c>
      <c r="AD448" t="s">
        <v>140</v>
      </c>
    </row>
    <row r="449" spans="2:30" x14ac:dyDescent="0.25">
      <c r="B449">
        <v>100097</v>
      </c>
      <c r="C449" t="s">
        <v>968</v>
      </c>
      <c r="D449">
        <v>2016</v>
      </c>
      <c r="F449" s="89">
        <v>17745.913366795099</v>
      </c>
      <c r="G449" s="89" t="s">
        <v>128</v>
      </c>
      <c r="H449" s="89"/>
      <c r="I449" s="89">
        <v>89.013366795150006</v>
      </c>
      <c r="J449" s="89">
        <v>17656.900000000001</v>
      </c>
      <c r="K449" s="89">
        <v>0</v>
      </c>
      <c r="L449" s="89">
        <v>0</v>
      </c>
      <c r="M449" s="89">
        <v>0</v>
      </c>
      <c r="N449" s="89"/>
      <c r="O449" s="89">
        <v>0</v>
      </c>
      <c r="P449" s="89">
        <v>0</v>
      </c>
      <c r="Q449" s="89">
        <v>0</v>
      </c>
      <c r="R449" s="89">
        <v>0</v>
      </c>
      <c r="S449" s="89">
        <v>17745.913366795099</v>
      </c>
      <c r="T449"/>
      <c r="U449" t="s">
        <v>129</v>
      </c>
      <c r="V449" t="s">
        <v>129</v>
      </c>
      <c r="Y449" t="s">
        <v>283</v>
      </c>
      <c r="Z449" t="s">
        <v>131</v>
      </c>
      <c r="AA449" s="90">
        <v>92121</v>
      </c>
      <c r="AB449" t="s">
        <v>139</v>
      </c>
      <c r="AC449" t="s">
        <v>0</v>
      </c>
      <c r="AD449" t="s">
        <v>140</v>
      </c>
    </row>
    <row r="450" spans="2:30" x14ac:dyDescent="0.25">
      <c r="B450">
        <v>100051</v>
      </c>
      <c r="C450" t="s">
        <v>969</v>
      </c>
      <c r="D450">
        <v>2016</v>
      </c>
      <c r="F450" s="89">
        <v>13578.911808480399</v>
      </c>
      <c r="G450" s="89" t="s">
        <v>128</v>
      </c>
      <c r="H450" s="89"/>
      <c r="I450" s="89">
        <v>68.111808480449994</v>
      </c>
      <c r="J450" s="89">
        <v>13510.8</v>
      </c>
      <c r="K450" s="89">
        <v>0</v>
      </c>
      <c r="L450" s="89">
        <v>0</v>
      </c>
      <c r="M450" s="89">
        <v>0</v>
      </c>
      <c r="N450" s="89"/>
      <c r="O450" s="89">
        <v>0</v>
      </c>
      <c r="P450" s="89">
        <v>0</v>
      </c>
      <c r="Q450" s="89">
        <v>0</v>
      </c>
      <c r="R450" s="89">
        <v>0</v>
      </c>
      <c r="S450" s="89">
        <v>13578.911808480399</v>
      </c>
      <c r="T450"/>
      <c r="U450" t="s">
        <v>129</v>
      </c>
      <c r="V450" t="s">
        <v>129</v>
      </c>
      <c r="Y450" t="s">
        <v>698</v>
      </c>
      <c r="Z450" t="s">
        <v>131</v>
      </c>
      <c r="AA450" s="90">
        <v>93117</v>
      </c>
      <c r="AB450" t="s">
        <v>139</v>
      </c>
      <c r="AC450" t="s">
        <v>0</v>
      </c>
      <c r="AD450" t="s">
        <v>140</v>
      </c>
    </row>
    <row r="451" spans="2:30" x14ac:dyDescent="0.25">
      <c r="B451">
        <v>101484</v>
      </c>
      <c r="C451" t="s">
        <v>970</v>
      </c>
      <c r="D451">
        <v>2016</v>
      </c>
      <c r="F451" s="89">
        <v>44426.473360110402</v>
      </c>
      <c r="G451" s="89" t="s">
        <v>128</v>
      </c>
      <c r="H451" s="89"/>
      <c r="I451" s="89">
        <v>249.37336011044999</v>
      </c>
      <c r="J451" s="89">
        <v>44177.1</v>
      </c>
      <c r="K451" s="89">
        <v>0</v>
      </c>
      <c r="L451" s="89">
        <v>0</v>
      </c>
      <c r="M451" s="89">
        <v>0</v>
      </c>
      <c r="N451" s="89"/>
      <c r="O451" s="89">
        <v>0</v>
      </c>
      <c r="P451" s="89">
        <v>0</v>
      </c>
      <c r="Q451" s="89">
        <v>0</v>
      </c>
      <c r="R451" s="89">
        <v>0</v>
      </c>
      <c r="S451" s="89">
        <v>44426.473360110402</v>
      </c>
      <c r="T451"/>
      <c r="U451" t="s">
        <v>155</v>
      </c>
      <c r="V451" t="s">
        <v>129</v>
      </c>
      <c r="W451" t="s">
        <v>156</v>
      </c>
      <c r="Y451" t="s">
        <v>971</v>
      </c>
      <c r="Z451" t="s">
        <v>131</v>
      </c>
      <c r="AA451" s="90">
        <v>91792</v>
      </c>
      <c r="AB451" t="s">
        <v>139</v>
      </c>
      <c r="AC451" t="s">
        <v>0</v>
      </c>
      <c r="AD451" t="s">
        <v>140</v>
      </c>
    </row>
    <row r="452" spans="2:30" x14ac:dyDescent="0.25">
      <c r="B452">
        <v>101209</v>
      </c>
      <c r="C452" t="s">
        <v>972</v>
      </c>
      <c r="D452">
        <v>2016</v>
      </c>
      <c r="F452" s="89">
        <v>11259.678397027499</v>
      </c>
      <c r="G452" s="89" t="s">
        <v>128</v>
      </c>
      <c r="H452" s="89"/>
      <c r="I452" s="89">
        <v>56.478397027500002</v>
      </c>
      <c r="J452" s="89">
        <v>11203.2</v>
      </c>
      <c r="K452" s="89">
        <v>0</v>
      </c>
      <c r="L452" s="89">
        <v>0</v>
      </c>
      <c r="M452" s="89">
        <v>0</v>
      </c>
      <c r="N452" s="89"/>
      <c r="O452" s="89">
        <v>0</v>
      </c>
      <c r="P452" s="89">
        <v>0</v>
      </c>
      <c r="Q452" s="89">
        <v>0</v>
      </c>
      <c r="R452" s="89">
        <v>0</v>
      </c>
      <c r="S452" s="89">
        <v>11259.678397027499</v>
      </c>
      <c r="T452"/>
      <c r="U452" t="s">
        <v>129</v>
      </c>
      <c r="V452" t="s">
        <v>129</v>
      </c>
      <c r="Y452" t="s">
        <v>973</v>
      </c>
      <c r="Z452" t="s">
        <v>131</v>
      </c>
      <c r="AA452" s="90">
        <v>95616</v>
      </c>
      <c r="AB452" t="s">
        <v>139</v>
      </c>
      <c r="AC452" t="s">
        <v>0</v>
      </c>
      <c r="AD452" t="s">
        <v>140</v>
      </c>
    </row>
    <row r="453" spans="2:30" x14ac:dyDescent="0.25">
      <c r="B453">
        <v>101359</v>
      </c>
      <c r="C453" t="s">
        <v>974</v>
      </c>
      <c r="D453">
        <v>2016</v>
      </c>
      <c r="F453" s="89">
        <v>38822.408592</v>
      </c>
      <c r="G453" s="89" t="s">
        <v>128</v>
      </c>
      <c r="H453" s="89"/>
      <c r="I453" s="89">
        <v>38822.408592</v>
      </c>
      <c r="J453" s="89">
        <v>0</v>
      </c>
      <c r="K453" s="89">
        <v>0</v>
      </c>
      <c r="L453" s="89">
        <v>0</v>
      </c>
      <c r="M453" s="89">
        <v>0</v>
      </c>
      <c r="N453" s="89"/>
      <c r="O453" s="89">
        <v>38822.408592</v>
      </c>
      <c r="P453" s="89">
        <v>0</v>
      </c>
      <c r="Q453" s="89">
        <v>0</v>
      </c>
      <c r="R453" s="89">
        <v>38822.408592</v>
      </c>
      <c r="S453" s="89">
        <v>0</v>
      </c>
      <c r="T453"/>
      <c r="U453" t="s">
        <v>155</v>
      </c>
      <c r="V453" t="s">
        <v>129</v>
      </c>
      <c r="W453" t="s">
        <v>645</v>
      </c>
      <c r="Y453" t="s">
        <v>357</v>
      </c>
      <c r="Z453" t="s">
        <v>131</v>
      </c>
      <c r="AA453" s="90">
        <v>95352</v>
      </c>
      <c r="AB453" t="s">
        <v>132</v>
      </c>
      <c r="AC453" t="s">
        <v>1</v>
      </c>
      <c r="AD453" t="s">
        <v>140</v>
      </c>
    </row>
    <row r="454" spans="2:30" x14ac:dyDescent="0.25">
      <c r="B454">
        <v>3045</v>
      </c>
      <c r="C454" t="s">
        <v>975</v>
      </c>
      <c r="D454">
        <v>2016</v>
      </c>
      <c r="F454" s="89">
        <v>836606.83395395195</v>
      </c>
      <c r="G454" s="89" t="s">
        <v>128</v>
      </c>
      <c r="H454" s="89"/>
      <c r="I454" s="89">
        <v>0</v>
      </c>
      <c r="J454" s="89">
        <v>0</v>
      </c>
      <c r="K454" s="89">
        <v>0</v>
      </c>
      <c r="L454" s="89">
        <v>0</v>
      </c>
      <c r="M454" s="89">
        <v>836606.83395395195</v>
      </c>
      <c r="N454" s="89"/>
      <c r="O454" s="89">
        <v>0</v>
      </c>
      <c r="P454" s="89">
        <v>0</v>
      </c>
      <c r="Q454" s="89">
        <v>736647.00595395197</v>
      </c>
      <c r="R454" s="89">
        <v>736647.00595395197</v>
      </c>
      <c r="S454" s="89">
        <v>99959.827999999994</v>
      </c>
      <c r="T454"/>
      <c r="U454" t="s">
        <v>155</v>
      </c>
      <c r="V454" t="s">
        <v>129</v>
      </c>
      <c r="W454" t="s">
        <v>645</v>
      </c>
      <c r="Y454" t="s">
        <v>357</v>
      </c>
      <c r="Z454" t="s">
        <v>131</v>
      </c>
      <c r="AA454" s="90">
        <v>95354</v>
      </c>
      <c r="AB454" t="s">
        <v>158</v>
      </c>
      <c r="AC454" t="s">
        <v>136</v>
      </c>
      <c r="AD454" t="s">
        <v>137</v>
      </c>
    </row>
    <row r="455" spans="2:30" x14ac:dyDescent="0.25">
      <c r="B455">
        <v>101028</v>
      </c>
      <c r="C455" t="s">
        <v>976</v>
      </c>
      <c r="D455">
        <v>2016</v>
      </c>
      <c r="F455" s="89">
        <v>199308.3359832</v>
      </c>
      <c r="G455" s="89" t="s">
        <v>128</v>
      </c>
      <c r="H455" s="89"/>
      <c r="I455" s="89">
        <v>199308.3359832</v>
      </c>
      <c r="J455" s="89">
        <v>0</v>
      </c>
      <c r="K455" s="89">
        <v>0</v>
      </c>
      <c r="L455" s="89">
        <v>0</v>
      </c>
      <c r="M455" s="89">
        <v>0</v>
      </c>
      <c r="N455" s="89"/>
      <c r="O455" s="89">
        <v>199308.3359832</v>
      </c>
      <c r="P455" s="89">
        <v>0</v>
      </c>
      <c r="Q455" s="89">
        <v>0</v>
      </c>
      <c r="R455" s="89">
        <v>199308.3359832</v>
      </c>
      <c r="S455" s="89">
        <v>0</v>
      </c>
      <c r="T455"/>
      <c r="U455" t="s">
        <v>155</v>
      </c>
      <c r="V455" t="s">
        <v>129</v>
      </c>
      <c r="W455" t="s">
        <v>645</v>
      </c>
      <c r="Y455" t="s">
        <v>357</v>
      </c>
      <c r="Z455" t="s">
        <v>131</v>
      </c>
      <c r="AA455" s="90">
        <v>95351</v>
      </c>
      <c r="AB455" t="s">
        <v>132</v>
      </c>
      <c r="AC455" t="s">
        <v>385</v>
      </c>
      <c r="AD455" t="s">
        <v>140</v>
      </c>
    </row>
    <row r="456" spans="2:30" x14ac:dyDescent="0.25">
      <c r="B456">
        <v>5019</v>
      </c>
      <c r="C456" t="s">
        <v>977</v>
      </c>
      <c r="D456">
        <v>2016</v>
      </c>
      <c r="F456" s="89">
        <v>0</v>
      </c>
      <c r="G456" s="89" t="s">
        <v>128</v>
      </c>
      <c r="H456" s="89"/>
      <c r="I456" s="89">
        <v>0</v>
      </c>
      <c r="J456" s="89">
        <v>0</v>
      </c>
      <c r="K456" s="89">
        <v>0</v>
      </c>
      <c r="L456" s="89">
        <v>0</v>
      </c>
      <c r="M456" s="89">
        <v>0</v>
      </c>
      <c r="N456" s="89"/>
      <c r="O456" s="89">
        <v>0</v>
      </c>
      <c r="P456" s="89">
        <v>0</v>
      </c>
      <c r="Q456" s="89">
        <v>0</v>
      </c>
      <c r="R456" s="89">
        <v>0</v>
      </c>
      <c r="S456" s="89">
        <v>0</v>
      </c>
      <c r="T456"/>
      <c r="U456" t="s">
        <v>129</v>
      </c>
      <c r="V456" t="s">
        <v>129</v>
      </c>
      <c r="Y456" t="s">
        <v>178</v>
      </c>
      <c r="Z456" t="s">
        <v>131</v>
      </c>
      <c r="AA456" s="90">
        <v>93307</v>
      </c>
      <c r="AB456" t="s">
        <v>451</v>
      </c>
      <c r="AC456" t="s">
        <v>259</v>
      </c>
      <c r="AD456" t="s">
        <v>260</v>
      </c>
    </row>
    <row r="457" spans="2:30" x14ac:dyDescent="0.25">
      <c r="B457">
        <v>104322</v>
      </c>
      <c r="C457" t="s">
        <v>978</v>
      </c>
      <c r="D457">
        <v>2016</v>
      </c>
      <c r="F457" s="89">
        <v>78.617266000000001</v>
      </c>
      <c r="G457" s="89" t="s">
        <v>128</v>
      </c>
      <c r="H457" s="89"/>
      <c r="I457" s="89">
        <v>78.617266000000001</v>
      </c>
      <c r="J457" s="89">
        <v>0</v>
      </c>
      <c r="K457" s="89">
        <v>0</v>
      </c>
      <c r="L457" s="89">
        <v>0</v>
      </c>
      <c r="M457" s="89">
        <v>0</v>
      </c>
      <c r="N457" s="89"/>
      <c r="O457" s="89">
        <v>0</v>
      </c>
      <c r="P457" s="89">
        <v>0</v>
      </c>
      <c r="Q457" s="89">
        <v>0</v>
      </c>
      <c r="R457" s="89">
        <v>0</v>
      </c>
      <c r="S457" s="89">
        <v>78.617266000000001</v>
      </c>
      <c r="T457"/>
      <c r="U457" t="s">
        <v>155</v>
      </c>
      <c r="V457" t="s">
        <v>129</v>
      </c>
      <c r="W457" t="s">
        <v>222</v>
      </c>
      <c r="Y457" t="s">
        <v>979</v>
      </c>
      <c r="Z457" t="s">
        <v>131</v>
      </c>
      <c r="AA457" s="90">
        <v>92366</v>
      </c>
      <c r="AB457" t="s">
        <v>980</v>
      </c>
      <c r="AC457" t="s">
        <v>0</v>
      </c>
      <c r="AD457" t="s">
        <v>143</v>
      </c>
    </row>
    <row r="458" spans="2:30" x14ac:dyDescent="0.25">
      <c r="B458">
        <v>101329</v>
      </c>
      <c r="C458" t="s">
        <v>981</v>
      </c>
      <c r="D458">
        <v>2016</v>
      </c>
      <c r="F458" s="89">
        <v>10504.282626484201</v>
      </c>
      <c r="G458" s="89" t="s">
        <v>128</v>
      </c>
      <c r="H458" s="89"/>
      <c r="I458" s="89">
        <v>1850.7826264842399</v>
      </c>
      <c r="J458" s="89">
        <v>8653.5</v>
      </c>
      <c r="K458" s="89">
        <v>0</v>
      </c>
      <c r="L458" s="89">
        <v>0</v>
      </c>
      <c r="M458" s="89">
        <v>0</v>
      </c>
      <c r="N458" s="89"/>
      <c r="O458" s="89">
        <v>0</v>
      </c>
      <c r="P458" s="89">
        <v>0</v>
      </c>
      <c r="Q458" s="89">
        <v>0</v>
      </c>
      <c r="R458" s="89">
        <v>0</v>
      </c>
      <c r="S458" s="89">
        <v>10504.282626484201</v>
      </c>
      <c r="T458"/>
      <c r="U458" t="s">
        <v>129</v>
      </c>
      <c r="V458" t="s">
        <v>129</v>
      </c>
      <c r="Y458" t="s">
        <v>982</v>
      </c>
      <c r="Z458" t="s">
        <v>131</v>
      </c>
      <c r="AA458" s="90">
        <v>93933</v>
      </c>
      <c r="AB458" t="s">
        <v>723</v>
      </c>
      <c r="AC458" t="s">
        <v>0</v>
      </c>
      <c r="AD458" t="s">
        <v>140</v>
      </c>
    </row>
    <row r="459" spans="2:30" x14ac:dyDescent="0.25">
      <c r="B459">
        <v>3046</v>
      </c>
      <c r="C459" t="s">
        <v>983</v>
      </c>
      <c r="D459">
        <v>2016</v>
      </c>
      <c r="F459" s="89">
        <v>0</v>
      </c>
      <c r="G459" s="89" t="s">
        <v>128</v>
      </c>
      <c r="H459" s="89"/>
      <c r="I459" s="89">
        <v>0</v>
      </c>
      <c r="J459" s="89">
        <v>0</v>
      </c>
      <c r="K459" s="89">
        <v>0</v>
      </c>
      <c r="L459" s="89">
        <v>0</v>
      </c>
      <c r="M459" s="89">
        <v>0</v>
      </c>
      <c r="N459" s="89"/>
      <c r="O459" s="89">
        <v>0</v>
      </c>
      <c r="P459" s="89">
        <v>0</v>
      </c>
      <c r="Q459" s="89">
        <v>0</v>
      </c>
      <c r="R459" s="89">
        <v>0</v>
      </c>
      <c r="S459" s="89">
        <v>0</v>
      </c>
      <c r="T459"/>
      <c r="U459" t="s">
        <v>129</v>
      </c>
      <c r="V459" t="s">
        <v>129</v>
      </c>
      <c r="Y459" t="s">
        <v>984</v>
      </c>
      <c r="Z459" t="s">
        <v>131</v>
      </c>
      <c r="AA459" s="90">
        <v>92552</v>
      </c>
      <c r="AB459" t="s">
        <v>158</v>
      </c>
      <c r="AC459" t="s">
        <v>136</v>
      </c>
      <c r="AD459" t="s">
        <v>137</v>
      </c>
    </row>
    <row r="460" spans="2:30" x14ac:dyDescent="0.25">
      <c r="B460">
        <v>2369</v>
      </c>
      <c r="C460" t="s">
        <v>985</v>
      </c>
      <c r="D460">
        <v>2016</v>
      </c>
      <c r="F460" s="89">
        <v>502270.25802545401</v>
      </c>
      <c r="G460" s="89" t="s">
        <v>128</v>
      </c>
      <c r="H460" s="89"/>
      <c r="I460" s="89">
        <v>0</v>
      </c>
      <c r="J460" s="89">
        <v>0</v>
      </c>
      <c r="K460" s="89">
        <v>0</v>
      </c>
      <c r="L460" s="89">
        <v>0</v>
      </c>
      <c r="M460" s="89">
        <v>502270.25802545401</v>
      </c>
      <c r="N460" s="89"/>
      <c r="O460" s="89">
        <v>0</v>
      </c>
      <c r="P460" s="89">
        <v>0</v>
      </c>
      <c r="Q460" s="89">
        <v>493297.38360809698</v>
      </c>
      <c r="R460" s="89">
        <v>493297.38360809698</v>
      </c>
      <c r="S460" s="89">
        <v>8972.8744173569994</v>
      </c>
      <c r="T460"/>
      <c r="U460" t="s">
        <v>210</v>
      </c>
      <c r="V460" t="s">
        <v>129</v>
      </c>
      <c r="W460" t="s">
        <v>204</v>
      </c>
      <c r="Y460" t="s">
        <v>800</v>
      </c>
      <c r="Z460" t="s">
        <v>192</v>
      </c>
      <c r="AA460" s="90">
        <v>10036</v>
      </c>
      <c r="AB460" t="s">
        <v>986</v>
      </c>
      <c r="AC460" t="s">
        <v>136</v>
      </c>
      <c r="AD460" t="s">
        <v>137</v>
      </c>
    </row>
    <row r="461" spans="2:30" x14ac:dyDescent="0.25">
      <c r="B461">
        <v>101498</v>
      </c>
      <c r="C461" t="s">
        <v>987</v>
      </c>
      <c r="D461">
        <v>2016</v>
      </c>
      <c r="F461" s="89">
        <v>44807.946592</v>
      </c>
      <c r="G461" s="89" t="s">
        <v>128</v>
      </c>
      <c r="H461" s="89"/>
      <c r="I461" s="89">
        <v>44807.946592</v>
      </c>
      <c r="J461" s="89">
        <v>0</v>
      </c>
      <c r="K461" s="89">
        <v>0</v>
      </c>
      <c r="L461" s="89">
        <v>0</v>
      </c>
      <c r="M461" s="89">
        <v>0</v>
      </c>
      <c r="N461" s="89"/>
      <c r="O461" s="89">
        <v>44807.946592</v>
      </c>
      <c r="P461" s="89">
        <v>0</v>
      </c>
      <c r="Q461" s="89">
        <v>0</v>
      </c>
      <c r="R461" s="89">
        <v>44807.946592</v>
      </c>
      <c r="S461" s="89">
        <v>0</v>
      </c>
      <c r="T461"/>
      <c r="U461" t="s">
        <v>155</v>
      </c>
      <c r="V461" t="s">
        <v>155</v>
      </c>
      <c r="W461" t="s">
        <v>565</v>
      </c>
      <c r="Y461" t="s">
        <v>397</v>
      </c>
      <c r="Z461" t="s">
        <v>131</v>
      </c>
      <c r="AA461" s="90">
        <v>93635</v>
      </c>
      <c r="AB461" t="s">
        <v>485</v>
      </c>
      <c r="AC461" t="s">
        <v>0</v>
      </c>
      <c r="AD461" t="s">
        <v>143</v>
      </c>
    </row>
    <row r="462" spans="2:30" x14ac:dyDescent="0.25">
      <c r="B462">
        <v>101536</v>
      </c>
      <c r="C462" t="s">
        <v>988</v>
      </c>
      <c r="D462">
        <v>2016</v>
      </c>
      <c r="F462" s="89">
        <v>112527.7442912</v>
      </c>
      <c r="G462" s="89" t="s">
        <v>128</v>
      </c>
      <c r="H462" s="89"/>
      <c r="I462" s="89">
        <v>112527.7442912</v>
      </c>
      <c r="J462" s="89">
        <v>0</v>
      </c>
      <c r="K462" s="89">
        <v>0</v>
      </c>
      <c r="L462" s="89">
        <v>0</v>
      </c>
      <c r="M462" s="89">
        <v>0</v>
      </c>
      <c r="N462" s="89"/>
      <c r="O462" s="89">
        <v>112527.7442912</v>
      </c>
      <c r="P462" s="89">
        <v>0</v>
      </c>
      <c r="Q462" s="89">
        <v>0</v>
      </c>
      <c r="R462" s="89">
        <v>112527.7442912</v>
      </c>
      <c r="S462" s="89">
        <v>0</v>
      </c>
      <c r="T462"/>
      <c r="U462" t="s">
        <v>155</v>
      </c>
      <c r="V462" t="s">
        <v>155</v>
      </c>
      <c r="W462" t="s">
        <v>565</v>
      </c>
      <c r="Y462" t="s">
        <v>989</v>
      </c>
      <c r="Z462" t="s">
        <v>131</v>
      </c>
      <c r="AA462" s="90">
        <v>95987</v>
      </c>
      <c r="AB462" t="s">
        <v>485</v>
      </c>
      <c r="AC462" t="s">
        <v>0</v>
      </c>
      <c r="AD462" t="s">
        <v>143</v>
      </c>
    </row>
    <row r="463" spans="2:30" x14ac:dyDescent="0.25">
      <c r="B463">
        <v>104418</v>
      </c>
      <c r="C463" t="s">
        <v>990</v>
      </c>
      <c r="D463">
        <v>2016</v>
      </c>
      <c r="F463" s="89">
        <v>15263.613343999999</v>
      </c>
      <c r="G463" s="89" t="s">
        <v>128</v>
      </c>
      <c r="H463" s="89"/>
      <c r="I463" s="89">
        <v>15263.613343999999</v>
      </c>
      <c r="J463" s="89">
        <v>0</v>
      </c>
      <c r="K463" s="89">
        <v>0</v>
      </c>
      <c r="L463" s="89">
        <v>0</v>
      </c>
      <c r="M463" s="89">
        <v>0</v>
      </c>
      <c r="N463" s="89"/>
      <c r="O463" s="89">
        <v>0</v>
      </c>
      <c r="P463" s="89">
        <v>0</v>
      </c>
      <c r="Q463" s="89">
        <v>0</v>
      </c>
      <c r="R463" s="89">
        <v>0</v>
      </c>
      <c r="S463" s="89">
        <v>15263.613343999999</v>
      </c>
      <c r="T463"/>
      <c r="U463" t="s">
        <v>129</v>
      </c>
      <c r="V463" t="s">
        <v>129</v>
      </c>
      <c r="Y463" t="s">
        <v>494</v>
      </c>
      <c r="Z463" t="s">
        <v>131</v>
      </c>
      <c r="AA463" s="90">
        <v>94560</v>
      </c>
      <c r="AB463" t="s">
        <v>991</v>
      </c>
      <c r="AC463" t="s">
        <v>0</v>
      </c>
      <c r="AD463" t="s">
        <v>143</v>
      </c>
    </row>
    <row r="464" spans="2:30" x14ac:dyDescent="0.25">
      <c r="B464">
        <v>101228</v>
      </c>
      <c r="C464" t="s">
        <v>992</v>
      </c>
      <c r="D464">
        <v>2016</v>
      </c>
      <c r="F464" s="89">
        <v>323136.00486907398</v>
      </c>
      <c r="G464" s="89" t="s">
        <v>128</v>
      </c>
      <c r="H464" s="89"/>
      <c r="I464" s="89">
        <v>13058.4048690744</v>
      </c>
      <c r="J464" s="89">
        <v>310077.59999999998</v>
      </c>
      <c r="K464" s="89">
        <v>0</v>
      </c>
      <c r="L464" s="89">
        <v>0</v>
      </c>
      <c r="M464" s="89">
        <v>0</v>
      </c>
      <c r="N464" s="89"/>
      <c r="O464" s="89">
        <v>0</v>
      </c>
      <c r="P464" s="89">
        <v>0</v>
      </c>
      <c r="Q464" s="89">
        <v>0</v>
      </c>
      <c r="R464" s="89">
        <v>0</v>
      </c>
      <c r="S464" s="89">
        <v>323136.00486907398</v>
      </c>
      <c r="T464"/>
      <c r="U464" t="s">
        <v>155</v>
      </c>
      <c r="V464" t="s">
        <v>129</v>
      </c>
      <c r="W464" t="s">
        <v>277</v>
      </c>
      <c r="Y464" t="s">
        <v>178</v>
      </c>
      <c r="Z464" t="s">
        <v>131</v>
      </c>
      <c r="AA464" s="90">
        <v>93308</v>
      </c>
      <c r="AB464" t="s">
        <v>241</v>
      </c>
      <c r="AC464" t="s">
        <v>0</v>
      </c>
      <c r="AD464" t="s">
        <v>133</v>
      </c>
    </row>
    <row r="465" spans="2:30" x14ac:dyDescent="0.25">
      <c r="B465">
        <v>104438</v>
      </c>
      <c r="C465" t="s">
        <v>993</v>
      </c>
      <c r="D465">
        <v>2016</v>
      </c>
      <c r="F465" s="89">
        <v>86217.110419999895</v>
      </c>
      <c r="G465" s="89" t="s">
        <v>128</v>
      </c>
      <c r="H465" s="89"/>
      <c r="I465" s="89">
        <v>0</v>
      </c>
      <c r="J465" s="89">
        <v>0</v>
      </c>
      <c r="K465" s="89">
        <v>70.975520000000003</v>
      </c>
      <c r="L465" s="89">
        <v>86146.134899999903</v>
      </c>
      <c r="M465" s="89">
        <v>0</v>
      </c>
      <c r="N465" s="89"/>
      <c r="O465" s="89">
        <v>0</v>
      </c>
      <c r="P465" s="89">
        <v>70.975520000000003</v>
      </c>
      <c r="Q465" s="89">
        <v>0</v>
      </c>
      <c r="R465" s="89">
        <v>70.975520000000003</v>
      </c>
      <c r="S465" s="89">
        <v>86146.134899999903</v>
      </c>
      <c r="T465"/>
      <c r="U465" t="s">
        <v>1517</v>
      </c>
      <c r="V465" t="s">
        <v>129</v>
      </c>
      <c r="W465" t="s">
        <v>215</v>
      </c>
      <c r="Y465" t="s">
        <v>298</v>
      </c>
      <c r="Z465" t="s">
        <v>145</v>
      </c>
      <c r="AA465" s="90">
        <v>85012</v>
      </c>
      <c r="AB465" t="s">
        <v>146</v>
      </c>
      <c r="AC465" t="s">
        <v>147</v>
      </c>
      <c r="AD465" t="s">
        <v>148</v>
      </c>
    </row>
    <row r="466" spans="2:30" x14ac:dyDescent="0.25">
      <c r="B466">
        <v>104097</v>
      </c>
      <c r="C466" t="s">
        <v>994</v>
      </c>
      <c r="D466">
        <v>2016</v>
      </c>
      <c r="F466" s="89">
        <v>28318.640736662601</v>
      </c>
      <c r="G466" s="89" t="s">
        <v>128</v>
      </c>
      <c r="H466" s="89"/>
      <c r="I466" s="89">
        <v>28318.640736662601</v>
      </c>
      <c r="J466" s="89">
        <v>0</v>
      </c>
      <c r="K466" s="89">
        <v>0</v>
      </c>
      <c r="L466" s="89">
        <v>0</v>
      </c>
      <c r="M466" s="89">
        <v>0</v>
      </c>
      <c r="N466" s="89"/>
      <c r="O466" s="89">
        <v>28047.381764000002</v>
      </c>
      <c r="P466" s="89">
        <v>0</v>
      </c>
      <c r="Q466" s="89">
        <v>0</v>
      </c>
      <c r="R466" s="89">
        <v>28047.381764000002</v>
      </c>
      <c r="S466" s="89">
        <v>271.2589726626</v>
      </c>
      <c r="T466"/>
      <c r="U466" t="s">
        <v>155</v>
      </c>
      <c r="V466" t="s">
        <v>155</v>
      </c>
      <c r="W466" t="s">
        <v>222</v>
      </c>
      <c r="Y466" t="s">
        <v>178</v>
      </c>
      <c r="Z466" t="s">
        <v>131</v>
      </c>
      <c r="AA466" s="90">
        <v>93307</v>
      </c>
      <c r="AB466" t="s">
        <v>170</v>
      </c>
      <c r="AC466" t="s">
        <v>175</v>
      </c>
      <c r="AD466" t="s">
        <v>176</v>
      </c>
    </row>
    <row r="467" spans="2:30" x14ac:dyDescent="0.25">
      <c r="B467">
        <v>104405</v>
      </c>
      <c r="C467" t="s">
        <v>995</v>
      </c>
      <c r="D467">
        <v>2016</v>
      </c>
      <c r="F467" s="89">
        <v>11111.33475174</v>
      </c>
      <c r="G467" s="89" t="s">
        <v>128</v>
      </c>
      <c r="H467" s="89"/>
      <c r="I467" s="89">
        <v>11111.33475174</v>
      </c>
      <c r="J467" s="89">
        <v>0</v>
      </c>
      <c r="K467" s="89">
        <v>0</v>
      </c>
      <c r="L467" s="89">
        <v>0</v>
      </c>
      <c r="M467" s="89">
        <v>0</v>
      </c>
      <c r="N467" s="89"/>
      <c r="O467" s="89">
        <v>0</v>
      </c>
      <c r="P467" s="89">
        <v>0</v>
      </c>
      <c r="Q467" s="89">
        <v>0</v>
      </c>
      <c r="R467" s="89">
        <v>0</v>
      </c>
      <c r="S467" s="89">
        <v>11111.33475174</v>
      </c>
      <c r="T467"/>
      <c r="U467" t="s">
        <v>129</v>
      </c>
      <c r="V467" t="s">
        <v>129</v>
      </c>
      <c r="Y467" t="s">
        <v>996</v>
      </c>
      <c r="Z467" t="s">
        <v>131</v>
      </c>
      <c r="AA467" s="90">
        <v>94035</v>
      </c>
      <c r="AB467" t="s">
        <v>997</v>
      </c>
      <c r="AC467" t="s">
        <v>0</v>
      </c>
      <c r="AD467" t="s">
        <v>143</v>
      </c>
    </row>
    <row r="468" spans="2:30" x14ac:dyDescent="0.25">
      <c r="B468">
        <v>101314</v>
      </c>
      <c r="C468" t="s">
        <v>998</v>
      </c>
      <c r="D468">
        <v>2016</v>
      </c>
      <c r="F468" s="89">
        <v>711524.84911378101</v>
      </c>
      <c r="G468" s="89" t="s">
        <v>128</v>
      </c>
      <c r="H468" s="89"/>
      <c r="I468" s="89">
        <v>680677.84911378101</v>
      </c>
      <c r="J468" s="89">
        <v>30847</v>
      </c>
      <c r="K468" s="89">
        <v>0</v>
      </c>
      <c r="L468" s="89">
        <v>0</v>
      </c>
      <c r="M468" s="89">
        <v>0</v>
      </c>
      <c r="N468" s="89"/>
      <c r="O468" s="89">
        <v>680677.84911378101</v>
      </c>
      <c r="P468" s="89">
        <v>0</v>
      </c>
      <c r="Q468" s="89">
        <v>0</v>
      </c>
      <c r="R468" s="89">
        <v>680677.84911378101</v>
      </c>
      <c r="S468" s="89">
        <v>30847</v>
      </c>
      <c r="T468"/>
      <c r="U468" t="s">
        <v>210</v>
      </c>
      <c r="V468" t="s">
        <v>155</v>
      </c>
      <c r="W468" t="s">
        <v>215</v>
      </c>
      <c r="Y468" t="s">
        <v>469</v>
      </c>
      <c r="Z468" t="s">
        <v>131</v>
      </c>
      <c r="AA468" s="90">
        <v>93243</v>
      </c>
      <c r="AB468" t="s">
        <v>478</v>
      </c>
      <c r="AC468" t="s">
        <v>479</v>
      </c>
      <c r="AD468" t="s">
        <v>480</v>
      </c>
    </row>
    <row r="469" spans="2:30" x14ac:dyDescent="0.25">
      <c r="B469">
        <v>104408</v>
      </c>
      <c r="C469" t="s">
        <v>999</v>
      </c>
      <c r="D469">
        <v>2016</v>
      </c>
      <c r="F469" s="89">
        <v>11279.367674785201</v>
      </c>
      <c r="G469" s="89" t="s">
        <v>128</v>
      </c>
      <c r="H469" s="89"/>
      <c r="I469" s="89">
        <v>11279.367674785201</v>
      </c>
      <c r="J469" s="89">
        <v>0</v>
      </c>
      <c r="K469" s="89">
        <v>0</v>
      </c>
      <c r="L469" s="89">
        <v>0</v>
      </c>
      <c r="M469" s="89">
        <v>0</v>
      </c>
      <c r="N469" s="89"/>
      <c r="O469" s="89">
        <v>0</v>
      </c>
      <c r="P469" s="89">
        <v>0</v>
      </c>
      <c r="Q469" s="89">
        <v>0</v>
      </c>
      <c r="R469" s="89">
        <v>0</v>
      </c>
      <c r="S469" s="89">
        <v>11279.367674785201</v>
      </c>
      <c r="T469"/>
      <c r="U469" t="s">
        <v>129</v>
      </c>
      <c r="V469" t="s">
        <v>129</v>
      </c>
      <c r="Y469" t="s">
        <v>759</v>
      </c>
      <c r="Z469" t="s">
        <v>131</v>
      </c>
      <c r="AA469" s="90">
        <v>93246</v>
      </c>
      <c r="AB469" t="s">
        <v>675</v>
      </c>
      <c r="AC469" t="s">
        <v>0</v>
      </c>
      <c r="AD469" t="s">
        <v>143</v>
      </c>
    </row>
    <row r="470" spans="2:30" x14ac:dyDescent="0.25">
      <c r="B470">
        <v>104214</v>
      </c>
      <c r="C470" t="s">
        <v>1000</v>
      </c>
      <c r="D470">
        <v>2016</v>
      </c>
      <c r="F470" s="89">
        <v>12585.7195433651</v>
      </c>
      <c r="G470" s="89" t="s">
        <v>128</v>
      </c>
      <c r="H470" s="89"/>
      <c r="I470" s="89">
        <v>12585.7195433651</v>
      </c>
      <c r="J470" s="89">
        <v>0</v>
      </c>
      <c r="K470" s="89">
        <v>0</v>
      </c>
      <c r="L470" s="89">
        <v>0</v>
      </c>
      <c r="M470" s="89">
        <v>0</v>
      </c>
      <c r="N470" s="89"/>
      <c r="O470" s="89">
        <v>0</v>
      </c>
      <c r="P470" s="89">
        <v>0</v>
      </c>
      <c r="Q470" s="89">
        <v>0</v>
      </c>
      <c r="R470" s="89">
        <v>0</v>
      </c>
      <c r="S470" s="89">
        <v>12585.7195433651</v>
      </c>
      <c r="T470"/>
      <c r="U470" t="s">
        <v>129</v>
      </c>
      <c r="V470" t="s">
        <v>129</v>
      </c>
      <c r="Y470" t="s">
        <v>1001</v>
      </c>
      <c r="Z470" t="s">
        <v>131</v>
      </c>
      <c r="AA470" s="90">
        <v>93555</v>
      </c>
      <c r="AB470" t="s">
        <v>675</v>
      </c>
      <c r="AC470" t="s">
        <v>0</v>
      </c>
      <c r="AD470" t="s">
        <v>143</v>
      </c>
    </row>
    <row r="471" spans="2:30" x14ac:dyDescent="0.25">
      <c r="B471">
        <v>104035</v>
      </c>
      <c r="C471" t="s">
        <v>1002</v>
      </c>
      <c r="D471">
        <v>2016</v>
      </c>
      <c r="F471" s="89">
        <v>10955.3656783023</v>
      </c>
      <c r="G471" s="89" t="s">
        <v>128</v>
      </c>
      <c r="H471" s="89"/>
      <c r="I471" s="89">
        <v>10955.3656783023</v>
      </c>
      <c r="J471" s="89">
        <v>0</v>
      </c>
      <c r="K471" s="89">
        <v>0</v>
      </c>
      <c r="L471" s="89">
        <v>0</v>
      </c>
      <c r="M471" s="89">
        <v>0</v>
      </c>
      <c r="N471" s="89"/>
      <c r="O471" s="89">
        <v>0</v>
      </c>
      <c r="P471" s="89">
        <v>0</v>
      </c>
      <c r="Q471" s="89">
        <v>0</v>
      </c>
      <c r="R471" s="89">
        <v>0</v>
      </c>
      <c r="S471" s="89">
        <v>10955.3656783023</v>
      </c>
      <c r="T471"/>
      <c r="U471" t="s">
        <v>129</v>
      </c>
      <c r="V471" t="s">
        <v>129</v>
      </c>
      <c r="Y471" t="s">
        <v>283</v>
      </c>
      <c r="Z471" t="s">
        <v>131</v>
      </c>
      <c r="AA471" s="90">
        <v>92134</v>
      </c>
      <c r="AB471" t="s">
        <v>675</v>
      </c>
      <c r="AC471" t="s">
        <v>0</v>
      </c>
      <c r="AD471" t="s">
        <v>143</v>
      </c>
    </row>
    <row r="472" spans="2:30" x14ac:dyDescent="0.25">
      <c r="B472">
        <v>104551</v>
      </c>
      <c r="C472" t="s">
        <v>1003</v>
      </c>
      <c r="D472">
        <v>2016</v>
      </c>
      <c r="F472" s="89">
        <v>16127.428908</v>
      </c>
      <c r="G472" s="89" t="s">
        <v>128</v>
      </c>
      <c r="H472" s="89"/>
      <c r="I472" s="89">
        <v>0</v>
      </c>
      <c r="J472" s="89">
        <v>0</v>
      </c>
      <c r="K472" s="89">
        <v>586.90810799999997</v>
      </c>
      <c r="L472" s="89">
        <v>15540.5208</v>
      </c>
      <c r="M472" s="89">
        <v>0</v>
      </c>
      <c r="N472" s="89"/>
      <c r="O472" s="89">
        <v>0</v>
      </c>
      <c r="P472" s="89">
        <v>0</v>
      </c>
      <c r="Q472" s="89">
        <v>0</v>
      </c>
      <c r="R472" s="89">
        <v>0</v>
      </c>
      <c r="S472" s="89">
        <v>16127.428908</v>
      </c>
      <c r="T472"/>
      <c r="U472" t="s">
        <v>129</v>
      </c>
      <c r="V472" t="s">
        <v>129</v>
      </c>
      <c r="Y472" t="s">
        <v>1004</v>
      </c>
      <c r="Z472" t="s">
        <v>1005</v>
      </c>
      <c r="AA472" s="90">
        <v>69022</v>
      </c>
      <c r="AB472" t="s">
        <v>166</v>
      </c>
      <c r="AC472" t="s">
        <v>147</v>
      </c>
      <c r="AD472" t="s">
        <v>148</v>
      </c>
    </row>
    <row r="473" spans="2:30" x14ac:dyDescent="0.25">
      <c r="B473">
        <v>104717</v>
      </c>
      <c r="C473" t="s">
        <v>1518</v>
      </c>
      <c r="D473">
        <v>2016</v>
      </c>
      <c r="F473" s="89">
        <v>438357.13164799998</v>
      </c>
      <c r="G473" s="89" t="s">
        <v>128</v>
      </c>
      <c r="H473" s="89"/>
      <c r="I473" s="89">
        <v>0</v>
      </c>
      <c r="J473" s="89">
        <v>0</v>
      </c>
      <c r="K473" s="89">
        <v>6052.7996480000002</v>
      </c>
      <c r="L473" s="89">
        <v>432304.33199999999</v>
      </c>
      <c r="M473" s="89">
        <v>0</v>
      </c>
      <c r="N473" s="89"/>
      <c r="O473" s="89">
        <v>0</v>
      </c>
      <c r="P473" s="89">
        <v>0</v>
      </c>
      <c r="Q473" s="89">
        <v>0</v>
      </c>
      <c r="R473" s="89">
        <v>0</v>
      </c>
      <c r="S473" s="89">
        <v>438357.13164799998</v>
      </c>
      <c r="T473"/>
      <c r="U473" t="s">
        <v>155</v>
      </c>
      <c r="V473" t="s">
        <v>129</v>
      </c>
      <c r="W473" t="s">
        <v>215</v>
      </c>
      <c r="Y473" t="s">
        <v>359</v>
      </c>
      <c r="Z473" t="s">
        <v>360</v>
      </c>
      <c r="AA473" s="90">
        <v>77056</v>
      </c>
      <c r="AB473" t="s">
        <v>146</v>
      </c>
      <c r="AC473" t="s">
        <v>147</v>
      </c>
      <c r="AD473" t="s">
        <v>148</v>
      </c>
    </row>
    <row r="474" spans="2:30" x14ac:dyDescent="0.25">
      <c r="B474">
        <v>2388</v>
      </c>
      <c r="C474" t="s">
        <v>1006</v>
      </c>
      <c r="D474">
        <v>2016</v>
      </c>
      <c r="F474" s="89">
        <v>33305.182713397</v>
      </c>
      <c r="G474" s="89" t="s">
        <v>128</v>
      </c>
      <c r="H474" s="89"/>
      <c r="I474" s="89">
        <v>0</v>
      </c>
      <c r="J474" s="89">
        <v>0</v>
      </c>
      <c r="K474" s="89">
        <v>0</v>
      </c>
      <c r="L474" s="89">
        <v>0</v>
      </c>
      <c r="M474" s="89">
        <v>33305.182713397</v>
      </c>
      <c r="N474" s="89"/>
      <c r="O474" s="89">
        <v>0</v>
      </c>
      <c r="P474" s="89">
        <v>0</v>
      </c>
      <c r="Q474" s="89">
        <v>33305.182713397</v>
      </c>
      <c r="R474" s="89">
        <v>33305.182713397</v>
      </c>
      <c r="S474" s="89">
        <v>0</v>
      </c>
      <c r="T474"/>
      <c r="U474" t="s">
        <v>155</v>
      </c>
      <c r="V474" t="s">
        <v>129</v>
      </c>
      <c r="W474" t="s">
        <v>222</v>
      </c>
      <c r="Y474" t="s">
        <v>1007</v>
      </c>
      <c r="Z474" t="s">
        <v>1008</v>
      </c>
      <c r="AA474" s="90">
        <v>89146</v>
      </c>
      <c r="AB474" t="s">
        <v>381</v>
      </c>
      <c r="AC474" t="s">
        <v>136</v>
      </c>
      <c r="AD474" t="s">
        <v>137</v>
      </c>
    </row>
    <row r="475" spans="2:30" x14ac:dyDescent="0.25">
      <c r="B475">
        <v>101697</v>
      </c>
      <c r="C475" t="s">
        <v>1009</v>
      </c>
      <c r="D475">
        <v>2016</v>
      </c>
      <c r="F475" s="89">
        <v>26525.146776000001</v>
      </c>
      <c r="G475" s="89" t="s">
        <v>128</v>
      </c>
      <c r="H475" s="89"/>
      <c r="I475" s="89">
        <v>26525.146776000001</v>
      </c>
      <c r="J475" s="89">
        <v>0</v>
      </c>
      <c r="K475" s="89">
        <v>0</v>
      </c>
      <c r="L475" s="89">
        <v>0</v>
      </c>
      <c r="M475" s="89">
        <v>0</v>
      </c>
      <c r="N475" s="89"/>
      <c r="O475" s="89">
        <v>26525.146776000001</v>
      </c>
      <c r="P475" s="89">
        <v>0</v>
      </c>
      <c r="Q475" s="89">
        <v>0</v>
      </c>
      <c r="R475" s="89">
        <v>26525.146776000001</v>
      </c>
      <c r="S475" s="89">
        <v>0</v>
      </c>
      <c r="T475"/>
      <c r="U475" t="s">
        <v>155</v>
      </c>
      <c r="V475" t="s">
        <v>155</v>
      </c>
      <c r="W475" t="s">
        <v>235</v>
      </c>
      <c r="Y475" t="s">
        <v>185</v>
      </c>
      <c r="Z475" t="s">
        <v>131</v>
      </c>
      <c r="AA475" s="90">
        <v>90813</v>
      </c>
      <c r="AB475" t="s">
        <v>731</v>
      </c>
      <c r="AC475" t="s">
        <v>0</v>
      </c>
      <c r="AD475" t="s">
        <v>143</v>
      </c>
    </row>
    <row r="476" spans="2:30" x14ac:dyDescent="0.25">
      <c r="B476">
        <v>104415</v>
      </c>
      <c r="C476" t="s">
        <v>1010</v>
      </c>
      <c r="D476">
        <v>2016</v>
      </c>
      <c r="F476" s="89">
        <v>22689.835009599999</v>
      </c>
      <c r="G476" s="89" t="s">
        <v>128</v>
      </c>
      <c r="H476" s="89"/>
      <c r="I476" s="89">
        <v>22689.835009599999</v>
      </c>
      <c r="J476" s="89">
        <v>0</v>
      </c>
      <c r="K476" s="89">
        <v>0</v>
      </c>
      <c r="L476" s="89">
        <v>0</v>
      </c>
      <c r="M476" s="89">
        <v>0</v>
      </c>
      <c r="N476" s="89"/>
      <c r="O476" s="89">
        <v>0</v>
      </c>
      <c r="P476" s="89">
        <v>0</v>
      </c>
      <c r="Q476" s="89">
        <v>0</v>
      </c>
      <c r="R476" s="89">
        <v>0</v>
      </c>
      <c r="S476" s="89">
        <v>22689.835009599999</v>
      </c>
      <c r="T476"/>
      <c r="U476" t="s">
        <v>129</v>
      </c>
      <c r="V476" t="s">
        <v>129</v>
      </c>
      <c r="Y476" t="s">
        <v>346</v>
      </c>
      <c r="Z476" t="s">
        <v>131</v>
      </c>
      <c r="AA476" s="90">
        <v>94804</v>
      </c>
      <c r="AB476" t="s">
        <v>731</v>
      </c>
      <c r="AC476" t="s">
        <v>0</v>
      </c>
      <c r="AD476" t="s">
        <v>143</v>
      </c>
    </row>
    <row r="477" spans="2:30" x14ac:dyDescent="0.25">
      <c r="B477">
        <v>104136</v>
      </c>
      <c r="C477" t="s">
        <v>1011</v>
      </c>
      <c r="D477">
        <v>2016</v>
      </c>
      <c r="F477" s="89">
        <v>24269.894593599998</v>
      </c>
      <c r="G477" s="89" t="s">
        <v>128</v>
      </c>
      <c r="H477" s="89"/>
      <c r="I477" s="89">
        <v>24269.894593599998</v>
      </c>
      <c r="J477" s="89">
        <v>0</v>
      </c>
      <c r="K477" s="89">
        <v>0</v>
      </c>
      <c r="L477" s="89">
        <v>0</v>
      </c>
      <c r="M477" s="89">
        <v>0</v>
      </c>
      <c r="N477" s="89"/>
      <c r="O477" s="89">
        <v>24269.894593599998</v>
      </c>
      <c r="P477" s="89">
        <v>0</v>
      </c>
      <c r="Q477" s="89">
        <v>0</v>
      </c>
      <c r="R477" s="89">
        <v>24269.894593599998</v>
      </c>
      <c r="S477" s="89">
        <v>0</v>
      </c>
      <c r="T477"/>
      <c r="U477" t="s">
        <v>155</v>
      </c>
      <c r="V477" t="s">
        <v>155</v>
      </c>
      <c r="W477" t="s">
        <v>215</v>
      </c>
      <c r="Y477" t="s">
        <v>320</v>
      </c>
      <c r="Z477" t="s">
        <v>131</v>
      </c>
      <c r="AA477" s="90">
        <v>90040</v>
      </c>
      <c r="AB477" t="s">
        <v>414</v>
      </c>
      <c r="AC477" t="s">
        <v>0</v>
      </c>
      <c r="AD477" t="s">
        <v>143</v>
      </c>
    </row>
    <row r="478" spans="2:30" x14ac:dyDescent="0.25">
      <c r="B478">
        <v>100195</v>
      </c>
      <c r="C478" t="s">
        <v>1012</v>
      </c>
      <c r="D478">
        <v>2016</v>
      </c>
      <c r="F478" s="89">
        <v>231296.67086720001</v>
      </c>
      <c r="G478" s="89" t="s">
        <v>128</v>
      </c>
      <c r="H478" s="89"/>
      <c r="I478" s="89">
        <v>231296.67086720001</v>
      </c>
      <c r="J478" s="89">
        <v>0</v>
      </c>
      <c r="K478" s="89">
        <v>0</v>
      </c>
      <c r="L478" s="89">
        <v>0</v>
      </c>
      <c r="M478" s="89">
        <v>0</v>
      </c>
      <c r="N478" s="89"/>
      <c r="O478" s="89">
        <v>231296.67086720001</v>
      </c>
      <c r="P478" s="89">
        <v>0</v>
      </c>
      <c r="Q478" s="89">
        <v>0</v>
      </c>
      <c r="R478" s="89">
        <v>231296.67086720001</v>
      </c>
      <c r="S478" s="89">
        <v>0</v>
      </c>
      <c r="T478"/>
      <c r="U478" t="s">
        <v>155</v>
      </c>
      <c r="V478" t="s">
        <v>155</v>
      </c>
      <c r="W478" t="s">
        <v>168</v>
      </c>
      <c r="Y478" t="s">
        <v>1013</v>
      </c>
      <c r="Z478" t="s">
        <v>131</v>
      </c>
      <c r="AA478" s="90">
        <v>91761</v>
      </c>
      <c r="AB478" t="s">
        <v>414</v>
      </c>
      <c r="AC478" t="s">
        <v>0</v>
      </c>
      <c r="AD478" t="s">
        <v>143</v>
      </c>
    </row>
    <row r="479" spans="2:30" x14ac:dyDescent="0.25">
      <c r="B479">
        <v>101356</v>
      </c>
      <c r="C479" t="s">
        <v>1014</v>
      </c>
      <c r="D479">
        <v>2016</v>
      </c>
      <c r="F479" s="89">
        <v>122322.172102695</v>
      </c>
      <c r="G479" s="89" t="s">
        <v>128</v>
      </c>
      <c r="H479" s="89"/>
      <c r="I479" s="89">
        <v>122322.172102695</v>
      </c>
      <c r="J479" s="89">
        <v>0</v>
      </c>
      <c r="K479" s="89">
        <v>0</v>
      </c>
      <c r="L479" s="89">
        <v>0</v>
      </c>
      <c r="M479" s="89">
        <v>0</v>
      </c>
      <c r="N479" s="89"/>
      <c r="O479" s="89">
        <v>122322.172102695</v>
      </c>
      <c r="P479" s="89">
        <v>0</v>
      </c>
      <c r="Q479" s="89">
        <v>0</v>
      </c>
      <c r="R479" s="89">
        <v>122322.172102695</v>
      </c>
      <c r="S479" s="89">
        <v>0</v>
      </c>
      <c r="T479"/>
      <c r="U479" t="s">
        <v>155</v>
      </c>
      <c r="V479" t="s">
        <v>155</v>
      </c>
      <c r="W479" t="s">
        <v>215</v>
      </c>
      <c r="Y479" t="s">
        <v>289</v>
      </c>
      <c r="Z479" t="s">
        <v>131</v>
      </c>
      <c r="AA479" s="90">
        <v>90333</v>
      </c>
      <c r="AB479" t="s">
        <v>414</v>
      </c>
      <c r="AC479" t="s">
        <v>0</v>
      </c>
      <c r="AD479" t="s">
        <v>143</v>
      </c>
    </row>
    <row r="480" spans="2:30" x14ac:dyDescent="0.25">
      <c r="B480">
        <v>104611</v>
      </c>
      <c r="C480" t="s">
        <v>1015</v>
      </c>
      <c r="D480">
        <v>2016</v>
      </c>
      <c r="F480" s="89">
        <v>11666.7275376</v>
      </c>
      <c r="G480" s="89" t="s">
        <v>128</v>
      </c>
      <c r="H480" s="89"/>
      <c r="I480" s="89">
        <v>11666.7275376</v>
      </c>
      <c r="J480" s="89">
        <v>0</v>
      </c>
      <c r="K480" s="89">
        <v>0</v>
      </c>
      <c r="L480" s="89">
        <v>0</v>
      </c>
      <c r="M480" s="89">
        <v>0</v>
      </c>
      <c r="N480" s="89"/>
      <c r="O480" s="89">
        <v>0</v>
      </c>
      <c r="P480" s="89">
        <v>0</v>
      </c>
      <c r="Q480" s="89">
        <v>0</v>
      </c>
      <c r="R480" s="89">
        <v>0</v>
      </c>
      <c r="S480" s="89">
        <v>11666.7275376</v>
      </c>
      <c r="T480"/>
      <c r="U480" t="s">
        <v>129</v>
      </c>
      <c r="V480" t="s">
        <v>129</v>
      </c>
      <c r="Y480" t="s">
        <v>571</v>
      </c>
      <c r="Z480" t="s">
        <v>131</v>
      </c>
      <c r="AA480" s="90">
        <v>92660</v>
      </c>
      <c r="AB480" t="s">
        <v>845</v>
      </c>
      <c r="AC480" t="s">
        <v>0</v>
      </c>
      <c r="AD480" t="s">
        <v>143</v>
      </c>
    </row>
    <row r="481" spans="2:30" x14ac:dyDescent="0.25">
      <c r="B481">
        <v>104225</v>
      </c>
      <c r="C481" t="s">
        <v>1016</v>
      </c>
      <c r="D481">
        <v>2016</v>
      </c>
      <c r="F481" s="89">
        <v>108451.28376000001</v>
      </c>
      <c r="G481" s="89" t="s">
        <v>128</v>
      </c>
      <c r="H481" s="89"/>
      <c r="I481" s="89">
        <v>0</v>
      </c>
      <c r="J481" s="89">
        <v>0</v>
      </c>
      <c r="K481" s="89">
        <v>0</v>
      </c>
      <c r="L481" s="89">
        <v>0</v>
      </c>
      <c r="M481" s="89">
        <v>108451.28376000001</v>
      </c>
      <c r="N481" s="89"/>
      <c r="O481" s="89">
        <v>0</v>
      </c>
      <c r="P481" s="89">
        <v>0</v>
      </c>
      <c r="Q481" s="89">
        <v>13062.49576</v>
      </c>
      <c r="R481" s="89">
        <v>13062.49576</v>
      </c>
      <c r="S481" s="89">
        <v>95388.788</v>
      </c>
      <c r="T481"/>
      <c r="U481" t="s">
        <v>155</v>
      </c>
      <c r="V481" t="s">
        <v>129</v>
      </c>
      <c r="W481" t="s">
        <v>364</v>
      </c>
      <c r="Y481" t="s">
        <v>1017</v>
      </c>
      <c r="Z481" t="s">
        <v>750</v>
      </c>
      <c r="AA481" s="90">
        <v>33408</v>
      </c>
      <c r="AB481" t="s">
        <v>158</v>
      </c>
      <c r="AC481" t="s">
        <v>136</v>
      </c>
      <c r="AD481" t="s">
        <v>137</v>
      </c>
    </row>
    <row r="482" spans="2:30" x14ac:dyDescent="0.25">
      <c r="B482">
        <v>101033</v>
      </c>
      <c r="C482" t="s">
        <v>1018</v>
      </c>
      <c r="D482">
        <v>2016</v>
      </c>
      <c r="F482" s="89">
        <v>8568.4152748571396</v>
      </c>
      <c r="G482" s="89" t="s">
        <v>128</v>
      </c>
      <c r="H482" s="89"/>
      <c r="I482" s="89">
        <v>43.015274857144902</v>
      </c>
      <c r="J482" s="89">
        <v>8525.4</v>
      </c>
      <c r="K482" s="89">
        <v>0</v>
      </c>
      <c r="L482" s="89">
        <v>0</v>
      </c>
      <c r="M482" s="89">
        <v>0</v>
      </c>
      <c r="N482" s="89"/>
      <c r="O482" s="89">
        <v>0</v>
      </c>
      <c r="P482" s="89">
        <v>0</v>
      </c>
      <c r="Q482" s="89">
        <v>0</v>
      </c>
      <c r="R482" s="89">
        <v>0</v>
      </c>
      <c r="S482" s="89">
        <v>8568.4152748571396</v>
      </c>
      <c r="T482"/>
      <c r="U482" t="s">
        <v>129</v>
      </c>
      <c r="V482" t="s">
        <v>129</v>
      </c>
      <c r="Y482" t="s">
        <v>440</v>
      </c>
      <c r="Z482" t="s">
        <v>131</v>
      </c>
      <c r="AA482" s="90">
        <v>92336</v>
      </c>
      <c r="AB482" t="s">
        <v>139</v>
      </c>
      <c r="AC482" t="s">
        <v>0</v>
      </c>
      <c r="AD482" t="s">
        <v>140</v>
      </c>
    </row>
    <row r="483" spans="2:30" x14ac:dyDescent="0.25">
      <c r="B483">
        <v>104682</v>
      </c>
      <c r="C483" t="s">
        <v>1019</v>
      </c>
      <c r="D483">
        <v>2016</v>
      </c>
      <c r="F483" s="89">
        <v>605464.652127999</v>
      </c>
      <c r="G483" s="89" t="s">
        <v>128</v>
      </c>
      <c r="H483" s="89"/>
      <c r="I483" s="89">
        <v>0</v>
      </c>
      <c r="J483" s="89">
        <v>0</v>
      </c>
      <c r="K483" s="89">
        <v>508.30172800003999</v>
      </c>
      <c r="L483" s="89">
        <v>604956.35039999895</v>
      </c>
      <c r="M483" s="89">
        <v>0</v>
      </c>
      <c r="N483" s="89"/>
      <c r="O483" s="89">
        <v>0</v>
      </c>
      <c r="P483" s="89">
        <v>0</v>
      </c>
      <c r="Q483" s="89">
        <v>0</v>
      </c>
      <c r="R483" s="89">
        <v>0</v>
      </c>
      <c r="S483" s="89">
        <v>605464.652127999</v>
      </c>
      <c r="T483"/>
      <c r="U483" t="s">
        <v>155</v>
      </c>
      <c r="V483" t="s">
        <v>129</v>
      </c>
      <c r="W483" t="s">
        <v>215</v>
      </c>
      <c r="Y483" t="s">
        <v>1020</v>
      </c>
      <c r="Z483" t="s">
        <v>1021</v>
      </c>
      <c r="AA483" s="90">
        <v>6902</v>
      </c>
      <c r="AB483" t="s">
        <v>527</v>
      </c>
      <c r="AC483" t="s">
        <v>147</v>
      </c>
      <c r="AD483" t="s">
        <v>148</v>
      </c>
    </row>
    <row r="484" spans="2:30" x14ac:dyDescent="0.25">
      <c r="B484">
        <v>2500</v>
      </c>
      <c r="C484" t="s">
        <v>1022</v>
      </c>
      <c r="D484">
        <v>2016</v>
      </c>
      <c r="F484" s="89">
        <v>0</v>
      </c>
      <c r="G484" s="89" t="s">
        <v>128</v>
      </c>
      <c r="H484" s="89"/>
      <c r="I484" s="89">
        <v>0</v>
      </c>
      <c r="J484" s="89">
        <v>0</v>
      </c>
      <c r="K484" s="89">
        <v>0</v>
      </c>
      <c r="L484" s="89">
        <v>0</v>
      </c>
      <c r="M484" s="89">
        <v>0</v>
      </c>
      <c r="N484" s="89"/>
      <c r="O484" s="89">
        <v>0</v>
      </c>
      <c r="P484" s="89">
        <v>0</v>
      </c>
      <c r="Q484" s="89">
        <v>0</v>
      </c>
      <c r="R484" s="89">
        <v>0</v>
      </c>
      <c r="S484" s="89">
        <v>0</v>
      </c>
      <c r="T484"/>
      <c r="U484" t="s">
        <v>155</v>
      </c>
      <c r="V484" t="s">
        <v>129</v>
      </c>
      <c r="W484" t="s">
        <v>235</v>
      </c>
      <c r="Y484" t="s">
        <v>1020</v>
      </c>
      <c r="Z484" t="s">
        <v>1021</v>
      </c>
      <c r="AA484" s="90">
        <v>6902</v>
      </c>
      <c r="AB484" t="s">
        <v>527</v>
      </c>
      <c r="AC484" t="s">
        <v>136</v>
      </c>
      <c r="AD484" t="s">
        <v>137</v>
      </c>
    </row>
    <row r="485" spans="2:30" x14ac:dyDescent="0.25">
      <c r="B485">
        <v>104445</v>
      </c>
      <c r="C485" t="s">
        <v>1023</v>
      </c>
      <c r="D485">
        <v>2016</v>
      </c>
      <c r="F485" s="89">
        <v>8412.2639479999998</v>
      </c>
      <c r="G485" s="89" t="s">
        <v>128</v>
      </c>
      <c r="H485" s="89"/>
      <c r="I485" s="89">
        <v>0</v>
      </c>
      <c r="J485" s="89">
        <v>0</v>
      </c>
      <c r="K485" s="89">
        <v>7849.3911479999997</v>
      </c>
      <c r="L485" s="89">
        <v>562.87279999999998</v>
      </c>
      <c r="M485" s="89">
        <v>0</v>
      </c>
      <c r="N485" s="89"/>
      <c r="O485" s="89">
        <v>0</v>
      </c>
      <c r="P485" s="89">
        <v>7849.3911479999997</v>
      </c>
      <c r="Q485" s="89">
        <v>0</v>
      </c>
      <c r="R485" s="89">
        <v>7849.3911479999997</v>
      </c>
      <c r="S485" s="89">
        <v>562.87279999999998</v>
      </c>
      <c r="T485"/>
      <c r="U485" t="s">
        <v>155</v>
      </c>
      <c r="V485" t="s">
        <v>129</v>
      </c>
      <c r="W485" t="s">
        <v>215</v>
      </c>
      <c r="Y485" t="s">
        <v>359</v>
      </c>
      <c r="Z485" t="s">
        <v>360</v>
      </c>
      <c r="AA485" s="90">
        <v>77042</v>
      </c>
      <c r="AB485" t="s">
        <v>227</v>
      </c>
      <c r="AC485" t="s">
        <v>147</v>
      </c>
      <c r="AD485" t="s">
        <v>148</v>
      </c>
    </row>
    <row r="486" spans="2:30" x14ac:dyDescent="0.25">
      <c r="B486">
        <v>104420</v>
      </c>
      <c r="C486" t="s">
        <v>1024</v>
      </c>
      <c r="D486">
        <v>2016</v>
      </c>
      <c r="F486" s="89">
        <v>10039.5294032</v>
      </c>
      <c r="G486" s="89" t="s">
        <v>128</v>
      </c>
      <c r="H486" s="89"/>
      <c r="I486" s="89">
        <v>10039.5294032</v>
      </c>
      <c r="J486" s="89">
        <v>0</v>
      </c>
      <c r="K486" s="89">
        <v>0</v>
      </c>
      <c r="L486" s="89">
        <v>0</v>
      </c>
      <c r="M486" s="89">
        <v>0</v>
      </c>
      <c r="N486" s="89"/>
      <c r="O486" s="89">
        <v>0</v>
      </c>
      <c r="P486" s="89">
        <v>0</v>
      </c>
      <c r="Q486" s="89">
        <v>0</v>
      </c>
      <c r="R486" s="89">
        <v>0</v>
      </c>
      <c r="S486" s="89">
        <v>10039.5294032</v>
      </c>
      <c r="T486"/>
      <c r="U486" t="s">
        <v>129</v>
      </c>
      <c r="V486" t="s">
        <v>129</v>
      </c>
      <c r="Y486" t="s">
        <v>693</v>
      </c>
      <c r="Z486" t="s">
        <v>131</v>
      </c>
      <c r="AA486" s="90">
        <v>91730</v>
      </c>
      <c r="AB486" t="s">
        <v>1025</v>
      </c>
      <c r="AC486" t="s">
        <v>0</v>
      </c>
      <c r="AD486" t="s">
        <v>143</v>
      </c>
    </row>
    <row r="487" spans="2:30" x14ac:dyDescent="0.25">
      <c r="B487">
        <v>104457</v>
      </c>
      <c r="C487" t="s">
        <v>1026</v>
      </c>
      <c r="D487">
        <v>2016</v>
      </c>
      <c r="F487" s="89">
        <v>12115.292081600001</v>
      </c>
      <c r="G487" s="89" t="s">
        <v>128</v>
      </c>
      <c r="H487" s="89"/>
      <c r="I487" s="89">
        <v>12115.292081600001</v>
      </c>
      <c r="J487" s="89">
        <v>0</v>
      </c>
      <c r="K487" s="89">
        <v>0</v>
      </c>
      <c r="L487" s="89">
        <v>0</v>
      </c>
      <c r="M487" s="89">
        <v>0</v>
      </c>
      <c r="N487" s="89"/>
      <c r="O487" s="89">
        <v>0</v>
      </c>
      <c r="P487" s="89">
        <v>0</v>
      </c>
      <c r="Q487" s="89">
        <v>0</v>
      </c>
      <c r="R487" s="89">
        <v>0</v>
      </c>
      <c r="S487" s="89">
        <v>12115.292081600001</v>
      </c>
      <c r="T487"/>
      <c r="U487" t="s">
        <v>129</v>
      </c>
      <c r="V487" t="s">
        <v>129</v>
      </c>
      <c r="Y487" t="s">
        <v>489</v>
      </c>
      <c r="Z487" t="s">
        <v>131</v>
      </c>
      <c r="AA487" s="90">
        <v>92801</v>
      </c>
      <c r="AB487" t="s">
        <v>1027</v>
      </c>
      <c r="AC487" t="s">
        <v>0</v>
      </c>
      <c r="AD487" t="s">
        <v>143</v>
      </c>
    </row>
    <row r="488" spans="2:30" x14ac:dyDescent="0.25">
      <c r="B488">
        <v>104323</v>
      </c>
      <c r="C488" t="s">
        <v>1028</v>
      </c>
      <c r="D488">
        <v>2016</v>
      </c>
      <c r="F488" s="89">
        <v>0</v>
      </c>
      <c r="G488" s="89" t="s">
        <v>128</v>
      </c>
      <c r="H488" s="89"/>
      <c r="I488" s="89">
        <v>0</v>
      </c>
      <c r="J488" s="89">
        <v>0</v>
      </c>
      <c r="K488" s="89">
        <v>0</v>
      </c>
      <c r="L488" s="89">
        <v>0</v>
      </c>
      <c r="M488" s="89">
        <v>0</v>
      </c>
      <c r="N488" s="89"/>
      <c r="O488" s="89">
        <v>0</v>
      </c>
      <c r="P488" s="89">
        <v>0</v>
      </c>
      <c r="Q488" s="89">
        <v>0</v>
      </c>
      <c r="R488" s="89">
        <v>0</v>
      </c>
      <c r="S488" s="89">
        <v>0</v>
      </c>
      <c r="T488"/>
      <c r="U488" t="s">
        <v>129</v>
      </c>
      <c r="V488" t="s">
        <v>129</v>
      </c>
      <c r="Y488" t="s">
        <v>1029</v>
      </c>
      <c r="Z488" t="s">
        <v>145</v>
      </c>
      <c r="AA488" s="90">
        <v>85334</v>
      </c>
      <c r="AB488" t="s">
        <v>451</v>
      </c>
      <c r="AC488" t="s">
        <v>259</v>
      </c>
      <c r="AD488" t="s">
        <v>260</v>
      </c>
    </row>
    <row r="489" spans="2:30" x14ac:dyDescent="0.25">
      <c r="B489">
        <v>101529</v>
      </c>
      <c r="C489" t="s">
        <v>1030</v>
      </c>
      <c r="D489">
        <v>2016</v>
      </c>
      <c r="F489" s="89">
        <v>21821.11</v>
      </c>
      <c r="G489" s="89" t="s">
        <v>128</v>
      </c>
      <c r="H489" s="89"/>
      <c r="I489" s="89">
        <v>21821.11</v>
      </c>
      <c r="J489" s="89">
        <v>0</v>
      </c>
      <c r="K489" s="89">
        <v>0</v>
      </c>
      <c r="L489" s="89">
        <v>0</v>
      </c>
      <c r="M489" s="89">
        <v>0</v>
      </c>
      <c r="N489" s="89"/>
      <c r="O489" s="89">
        <v>0</v>
      </c>
      <c r="P489" s="89">
        <v>0</v>
      </c>
      <c r="Q489" s="89">
        <v>0</v>
      </c>
      <c r="R489" s="89">
        <v>0</v>
      </c>
      <c r="S489" s="89">
        <v>21821.11</v>
      </c>
      <c r="T489"/>
      <c r="U489" t="s">
        <v>155</v>
      </c>
      <c r="V489" t="s">
        <v>129</v>
      </c>
      <c r="W489" t="s">
        <v>337</v>
      </c>
      <c r="Y489" t="s">
        <v>454</v>
      </c>
      <c r="Z489" t="s">
        <v>131</v>
      </c>
      <c r="AA489" s="90">
        <v>95461</v>
      </c>
      <c r="AB489" t="s">
        <v>455</v>
      </c>
      <c r="AC489" t="s">
        <v>0</v>
      </c>
      <c r="AD489" t="s">
        <v>140</v>
      </c>
    </row>
    <row r="490" spans="2:30" x14ac:dyDescent="0.25">
      <c r="B490">
        <v>101530</v>
      </c>
      <c r="C490" t="s">
        <v>1031</v>
      </c>
      <c r="D490">
        <v>2016</v>
      </c>
      <c r="F490" s="89">
        <v>24187.19</v>
      </c>
      <c r="G490" s="89" t="s">
        <v>128</v>
      </c>
      <c r="H490" s="89"/>
      <c r="I490" s="89">
        <v>24187.19</v>
      </c>
      <c r="J490" s="89">
        <v>0</v>
      </c>
      <c r="K490" s="89">
        <v>0</v>
      </c>
      <c r="L490" s="89">
        <v>0</v>
      </c>
      <c r="M490" s="89">
        <v>0</v>
      </c>
      <c r="N490" s="89"/>
      <c r="O490" s="89">
        <v>0</v>
      </c>
      <c r="P490" s="89">
        <v>0</v>
      </c>
      <c r="Q490" s="89">
        <v>0</v>
      </c>
      <c r="R490" s="89">
        <v>0</v>
      </c>
      <c r="S490" s="89">
        <v>24187.19</v>
      </c>
      <c r="T490"/>
      <c r="U490" t="s">
        <v>155</v>
      </c>
      <c r="V490" t="s">
        <v>129</v>
      </c>
      <c r="W490" t="s">
        <v>337</v>
      </c>
      <c r="Y490" t="s">
        <v>454</v>
      </c>
      <c r="Z490" t="s">
        <v>131</v>
      </c>
      <c r="AA490" s="90">
        <v>95461</v>
      </c>
      <c r="AB490" t="s">
        <v>455</v>
      </c>
      <c r="AC490" t="s">
        <v>0</v>
      </c>
      <c r="AD490" t="s">
        <v>140</v>
      </c>
    </row>
    <row r="491" spans="2:30" x14ac:dyDescent="0.25">
      <c r="B491">
        <v>2215</v>
      </c>
      <c r="C491" t="s">
        <v>1032</v>
      </c>
      <c r="D491">
        <v>2016</v>
      </c>
      <c r="F491" s="89">
        <v>99980.098079999996</v>
      </c>
      <c r="G491" s="89" t="s">
        <v>128</v>
      </c>
      <c r="H491" s="89"/>
      <c r="I491" s="89">
        <v>0</v>
      </c>
      <c r="J491" s="89">
        <v>0</v>
      </c>
      <c r="K491" s="89">
        <v>0</v>
      </c>
      <c r="L491" s="89">
        <v>0</v>
      </c>
      <c r="M491" s="89">
        <v>99980.098079999996</v>
      </c>
      <c r="N491" s="89"/>
      <c r="O491" s="89">
        <v>0</v>
      </c>
      <c r="P491" s="89">
        <v>0</v>
      </c>
      <c r="Q491" s="89">
        <v>99980.098079999996</v>
      </c>
      <c r="R491" s="89">
        <v>99980.098079999996</v>
      </c>
      <c r="S491" s="89">
        <v>0</v>
      </c>
      <c r="T491"/>
      <c r="U491" t="s">
        <v>155</v>
      </c>
      <c r="V491" t="s">
        <v>129</v>
      </c>
      <c r="W491" t="s">
        <v>337</v>
      </c>
      <c r="Y491" t="s">
        <v>1033</v>
      </c>
      <c r="Z491" t="s">
        <v>131</v>
      </c>
      <c r="AA491" s="90">
        <v>95678</v>
      </c>
      <c r="AB491" t="s">
        <v>158</v>
      </c>
      <c r="AC491" t="s">
        <v>136</v>
      </c>
      <c r="AD491" t="s">
        <v>137</v>
      </c>
    </row>
    <row r="492" spans="2:30" x14ac:dyDescent="0.25">
      <c r="B492">
        <v>101358</v>
      </c>
      <c r="C492" t="s">
        <v>1034</v>
      </c>
      <c r="D492">
        <v>2016</v>
      </c>
      <c r="F492" s="89">
        <v>7669.1718868560001</v>
      </c>
      <c r="G492" s="89" t="s">
        <v>128</v>
      </c>
      <c r="H492" s="89"/>
      <c r="I492" s="89">
        <v>7669.1718868560001</v>
      </c>
      <c r="J492" s="89">
        <v>0</v>
      </c>
      <c r="K492" s="89">
        <v>0</v>
      </c>
      <c r="L492" s="89">
        <v>0</v>
      </c>
      <c r="M492" s="89">
        <v>0</v>
      </c>
      <c r="N492" s="89"/>
      <c r="O492" s="89">
        <v>0</v>
      </c>
      <c r="P492" s="89">
        <v>0</v>
      </c>
      <c r="Q492" s="89">
        <v>0</v>
      </c>
      <c r="R492" s="89">
        <v>0</v>
      </c>
      <c r="S492" s="89">
        <v>7669.1718868560001</v>
      </c>
      <c r="T492"/>
      <c r="U492" t="s">
        <v>129</v>
      </c>
      <c r="V492" t="s">
        <v>129</v>
      </c>
      <c r="Y492" t="s">
        <v>885</v>
      </c>
      <c r="Z492" t="s">
        <v>131</v>
      </c>
      <c r="AA492" s="90">
        <v>93550</v>
      </c>
      <c r="AB492" t="s">
        <v>886</v>
      </c>
      <c r="AC492" t="s">
        <v>0</v>
      </c>
      <c r="AD492" t="s">
        <v>143</v>
      </c>
    </row>
    <row r="493" spans="2:30" x14ac:dyDescent="0.25">
      <c r="B493">
        <v>104227</v>
      </c>
      <c r="C493" t="s">
        <v>1035</v>
      </c>
      <c r="D493">
        <v>2016</v>
      </c>
      <c r="F493" s="89">
        <v>10240.3379349072</v>
      </c>
      <c r="G493" s="89" t="s">
        <v>128</v>
      </c>
      <c r="H493" s="89"/>
      <c r="I493" s="89">
        <v>10240.3379349072</v>
      </c>
      <c r="J493" s="89">
        <v>0</v>
      </c>
      <c r="K493" s="89">
        <v>0</v>
      </c>
      <c r="L493" s="89">
        <v>0</v>
      </c>
      <c r="M493" s="89">
        <v>0</v>
      </c>
      <c r="N493" s="89"/>
      <c r="O493" s="89">
        <v>0</v>
      </c>
      <c r="P493" s="89">
        <v>0</v>
      </c>
      <c r="Q493" s="89">
        <v>0</v>
      </c>
      <c r="R493" s="89">
        <v>0</v>
      </c>
      <c r="S493" s="89">
        <v>10240.3379349072</v>
      </c>
      <c r="T493"/>
      <c r="U493" t="s">
        <v>129</v>
      </c>
      <c r="V493" t="s">
        <v>129</v>
      </c>
      <c r="Y493" t="s">
        <v>888</v>
      </c>
      <c r="Z493" t="s">
        <v>131</v>
      </c>
      <c r="AA493" s="90">
        <v>94088</v>
      </c>
      <c r="AB493" t="s">
        <v>1036</v>
      </c>
      <c r="AC493" t="s">
        <v>0</v>
      </c>
      <c r="AD493" t="s">
        <v>143</v>
      </c>
    </row>
    <row r="494" spans="2:30" x14ac:dyDescent="0.25">
      <c r="B494">
        <v>104369</v>
      </c>
      <c r="C494" t="s">
        <v>1037</v>
      </c>
      <c r="D494">
        <v>2016</v>
      </c>
      <c r="F494" s="89">
        <v>9478.3641196799999</v>
      </c>
      <c r="G494" s="89" t="s">
        <v>128</v>
      </c>
      <c r="H494" s="89"/>
      <c r="I494" s="89">
        <v>9478.3641196799999</v>
      </c>
      <c r="J494" s="89">
        <v>0</v>
      </c>
      <c r="K494" s="89">
        <v>0</v>
      </c>
      <c r="L494" s="89">
        <v>0</v>
      </c>
      <c r="M494" s="89">
        <v>0</v>
      </c>
      <c r="N494" s="89"/>
      <c r="O494" s="89">
        <v>0</v>
      </c>
      <c r="P494" s="89">
        <v>0</v>
      </c>
      <c r="Q494" s="89">
        <v>0</v>
      </c>
      <c r="R494" s="89">
        <v>0</v>
      </c>
      <c r="S494" s="89">
        <v>9478.3641196799999</v>
      </c>
      <c r="T494"/>
      <c r="U494" t="s">
        <v>129</v>
      </c>
      <c r="V494" t="s">
        <v>129</v>
      </c>
      <c r="Y494" t="s">
        <v>157</v>
      </c>
      <c r="Z494" t="s">
        <v>131</v>
      </c>
      <c r="AA494" s="90">
        <v>90245</v>
      </c>
      <c r="AB494" t="s">
        <v>886</v>
      </c>
      <c r="AC494" t="s">
        <v>0</v>
      </c>
      <c r="AD494" t="s">
        <v>143</v>
      </c>
    </row>
    <row r="495" spans="2:30" x14ac:dyDescent="0.25">
      <c r="B495">
        <v>104324</v>
      </c>
      <c r="C495" t="s">
        <v>1038</v>
      </c>
      <c r="D495">
        <v>2016</v>
      </c>
      <c r="F495" s="89">
        <v>12876.912431999999</v>
      </c>
      <c r="G495" s="89" t="s">
        <v>128</v>
      </c>
      <c r="H495" s="89"/>
      <c r="I495" s="89">
        <v>12876.912431999999</v>
      </c>
      <c r="J495" s="89">
        <v>0</v>
      </c>
      <c r="K495" s="89">
        <v>0</v>
      </c>
      <c r="L495" s="89">
        <v>0</v>
      </c>
      <c r="M495" s="89">
        <v>0</v>
      </c>
      <c r="N495" s="89"/>
      <c r="O495" s="89">
        <v>0</v>
      </c>
      <c r="P495" s="89">
        <v>0</v>
      </c>
      <c r="Q495" s="89">
        <v>0</v>
      </c>
      <c r="R495" s="89">
        <v>0</v>
      </c>
      <c r="S495" s="89">
        <v>12876.912431999999</v>
      </c>
      <c r="T495"/>
      <c r="U495" t="s">
        <v>129</v>
      </c>
      <c r="V495" t="s">
        <v>129</v>
      </c>
      <c r="Y495" t="s">
        <v>189</v>
      </c>
      <c r="Z495" t="s">
        <v>131</v>
      </c>
      <c r="AA495" s="90">
        <v>90278</v>
      </c>
      <c r="AB495" t="s">
        <v>889</v>
      </c>
      <c r="AC495" t="s">
        <v>0</v>
      </c>
      <c r="AD495" t="s">
        <v>143</v>
      </c>
    </row>
    <row r="496" spans="2:30" x14ac:dyDescent="0.25">
      <c r="B496">
        <v>100076</v>
      </c>
      <c r="C496" t="s">
        <v>1039</v>
      </c>
      <c r="D496">
        <v>2016</v>
      </c>
      <c r="F496" s="89">
        <v>4000.1647211162999</v>
      </c>
      <c r="G496" s="89" t="s">
        <v>128</v>
      </c>
      <c r="H496" s="89"/>
      <c r="I496" s="89">
        <v>20.064721116299999</v>
      </c>
      <c r="J496" s="89">
        <v>3980.1</v>
      </c>
      <c r="K496" s="89">
        <v>0</v>
      </c>
      <c r="L496" s="89">
        <v>0</v>
      </c>
      <c r="M496" s="89">
        <v>0</v>
      </c>
      <c r="N496" s="89"/>
      <c r="O496" s="89">
        <v>0</v>
      </c>
      <c r="P496" s="89">
        <v>0</v>
      </c>
      <c r="Q496" s="89">
        <v>0</v>
      </c>
      <c r="R496" s="89">
        <v>0</v>
      </c>
      <c r="S496" s="89">
        <v>4000.1647211162999</v>
      </c>
      <c r="T496"/>
      <c r="U496" t="s">
        <v>129</v>
      </c>
      <c r="V496" t="s">
        <v>129</v>
      </c>
      <c r="Y496" t="s">
        <v>346</v>
      </c>
      <c r="Z496" t="s">
        <v>131</v>
      </c>
      <c r="AA496" s="90">
        <v>94801</v>
      </c>
      <c r="AB496" t="s">
        <v>723</v>
      </c>
      <c r="AC496" t="s">
        <v>0</v>
      </c>
      <c r="AD496" t="s">
        <v>140</v>
      </c>
    </row>
    <row r="497" spans="2:30" x14ac:dyDescent="0.25">
      <c r="B497">
        <v>101135</v>
      </c>
      <c r="C497" t="s">
        <v>1040</v>
      </c>
      <c r="D497">
        <v>2016</v>
      </c>
      <c r="F497" s="89">
        <v>686.88531665067603</v>
      </c>
      <c r="G497" s="89" t="s">
        <v>128</v>
      </c>
      <c r="H497" s="89"/>
      <c r="I497" s="89">
        <v>686.88531665067603</v>
      </c>
      <c r="J497" s="89">
        <v>0</v>
      </c>
      <c r="K497" s="89">
        <v>0</v>
      </c>
      <c r="L497" s="89">
        <v>0</v>
      </c>
      <c r="M497" s="89">
        <v>0</v>
      </c>
      <c r="N497" s="89"/>
      <c r="O497" s="89">
        <v>0</v>
      </c>
      <c r="P497" s="89">
        <v>0</v>
      </c>
      <c r="Q497" s="89">
        <v>0</v>
      </c>
      <c r="R497" s="89">
        <v>0</v>
      </c>
      <c r="S497" s="89">
        <v>686.88531665067603</v>
      </c>
      <c r="T497"/>
      <c r="U497" t="s">
        <v>129</v>
      </c>
      <c r="V497" t="s">
        <v>129</v>
      </c>
      <c r="Y497" t="s">
        <v>679</v>
      </c>
      <c r="Z497" t="s">
        <v>131</v>
      </c>
      <c r="AA497" s="90">
        <v>97219</v>
      </c>
      <c r="AB497" t="s">
        <v>132</v>
      </c>
      <c r="AC497" t="s">
        <v>0</v>
      </c>
      <c r="AD497" t="s">
        <v>140</v>
      </c>
    </row>
    <row r="498" spans="2:30" x14ac:dyDescent="0.25">
      <c r="B498">
        <v>100164</v>
      </c>
      <c r="C498" t="s">
        <v>1041</v>
      </c>
      <c r="D498">
        <v>2016</v>
      </c>
      <c r="F498" s="89">
        <v>536596.15549999999</v>
      </c>
      <c r="G498" s="89" t="s">
        <v>128</v>
      </c>
      <c r="H498" s="89"/>
      <c r="I498" s="89">
        <v>536596.15549999999</v>
      </c>
      <c r="J498" s="89">
        <v>0</v>
      </c>
      <c r="K498" s="89">
        <v>0</v>
      </c>
      <c r="L498" s="89">
        <v>0</v>
      </c>
      <c r="M498" s="89">
        <v>0</v>
      </c>
      <c r="N498" s="89"/>
      <c r="O498" s="89">
        <v>536596.15549999999</v>
      </c>
      <c r="P498" s="89">
        <v>0</v>
      </c>
      <c r="Q498" s="89">
        <v>0</v>
      </c>
      <c r="R498" s="89">
        <v>536596.15549999999</v>
      </c>
      <c r="S498" s="89">
        <v>0</v>
      </c>
      <c r="T498"/>
      <c r="U498" t="s">
        <v>155</v>
      </c>
      <c r="V498" t="s">
        <v>129</v>
      </c>
      <c r="W498" t="s">
        <v>222</v>
      </c>
      <c r="Y498" t="s">
        <v>157</v>
      </c>
      <c r="Z498" t="s">
        <v>131</v>
      </c>
      <c r="AA498" s="90">
        <v>90245</v>
      </c>
      <c r="AB498" t="s">
        <v>132</v>
      </c>
      <c r="AC498" t="s">
        <v>1</v>
      </c>
      <c r="AD498" t="s">
        <v>140</v>
      </c>
    </row>
    <row r="499" spans="2:30" x14ac:dyDescent="0.25">
      <c r="B499">
        <v>101534</v>
      </c>
      <c r="C499" t="s">
        <v>1042</v>
      </c>
      <c r="D499">
        <v>2016</v>
      </c>
      <c r="F499" s="89">
        <v>214845.77197003199</v>
      </c>
      <c r="G499" s="89" t="s">
        <v>128</v>
      </c>
      <c r="H499" s="89"/>
      <c r="I499" s="89">
        <v>214845.77197003199</v>
      </c>
      <c r="J499" s="89">
        <v>0</v>
      </c>
      <c r="K499" s="89">
        <v>0</v>
      </c>
      <c r="L499" s="89">
        <v>0</v>
      </c>
      <c r="M499" s="89">
        <v>0</v>
      </c>
      <c r="N499" s="89"/>
      <c r="O499" s="89">
        <v>214843.82230829101</v>
      </c>
      <c r="P499" s="89">
        <v>0</v>
      </c>
      <c r="Q499" s="89">
        <v>0</v>
      </c>
      <c r="R499" s="89">
        <v>214843.82230829101</v>
      </c>
      <c r="S499" s="89">
        <v>1.9496617408020001</v>
      </c>
      <c r="T499"/>
      <c r="U499" t="s">
        <v>155</v>
      </c>
      <c r="V499" t="s">
        <v>129</v>
      </c>
      <c r="W499" t="s">
        <v>222</v>
      </c>
      <c r="Y499" t="s">
        <v>684</v>
      </c>
      <c r="Z499" t="s">
        <v>131</v>
      </c>
      <c r="AA499" s="90">
        <v>92008</v>
      </c>
      <c r="AB499" t="s">
        <v>132</v>
      </c>
      <c r="AC499" t="s">
        <v>385</v>
      </c>
      <c r="AD499" t="s">
        <v>140</v>
      </c>
    </row>
    <row r="500" spans="2:30" x14ac:dyDescent="0.25">
      <c r="B500">
        <v>101408</v>
      </c>
      <c r="C500" t="s">
        <v>1043</v>
      </c>
      <c r="D500">
        <v>2016</v>
      </c>
      <c r="F500" s="89">
        <v>4228.0906553948798</v>
      </c>
      <c r="G500" s="89" t="s">
        <v>128</v>
      </c>
      <c r="H500" s="89"/>
      <c r="I500" s="89">
        <v>4228.0906553948798</v>
      </c>
      <c r="J500" s="89">
        <v>0</v>
      </c>
      <c r="K500" s="89">
        <v>0</v>
      </c>
      <c r="L500" s="89">
        <v>0</v>
      </c>
      <c r="M500" s="89">
        <v>0</v>
      </c>
      <c r="N500" s="89"/>
      <c r="O500" s="89">
        <v>0</v>
      </c>
      <c r="P500" s="89">
        <v>0</v>
      </c>
      <c r="Q500" s="89">
        <v>0</v>
      </c>
      <c r="R500" s="89">
        <v>0</v>
      </c>
      <c r="S500" s="89">
        <v>4228.0906553948798</v>
      </c>
      <c r="T500"/>
      <c r="U500" t="s">
        <v>129</v>
      </c>
      <c r="V500" t="s">
        <v>129</v>
      </c>
      <c r="Y500" t="s">
        <v>283</v>
      </c>
      <c r="Z500" t="s">
        <v>131</v>
      </c>
      <c r="AA500" s="90">
        <v>92123</v>
      </c>
      <c r="AB500" t="s">
        <v>132</v>
      </c>
      <c r="AC500" t="s">
        <v>0</v>
      </c>
      <c r="AD500" t="s">
        <v>140</v>
      </c>
    </row>
    <row r="501" spans="2:30" x14ac:dyDescent="0.25">
      <c r="B501">
        <v>100208</v>
      </c>
      <c r="C501" t="s">
        <v>1044</v>
      </c>
      <c r="D501">
        <v>2016</v>
      </c>
      <c r="F501" s="89">
        <v>22462.544271999999</v>
      </c>
      <c r="G501" s="89" t="s">
        <v>128</v>
      </c>
      <c r="H501" s="89"/>
      <c r="I501" s="89">
        <v>22462.544271999999</v>
      </c>
      <c r="J501" s="89">
        <v>0</v>
      </c>
      <c r="K501" s="89">
        <v>0</v>
      </c>
      <c r="L501" s="89">
        <v>0</v>
      </c>
      <c r="M501" s="89">
        <v>0</v>
      </c>
      <c r="N501" s="89"/>
      <c r="O501" s="89">
        <v>0</v>
      </c>
      <c r="P501" s="89">
        <v>0</v>
      </c>
      <c r="Q501" s="89">
        <v>0</v>
      </c>
      <c r="R501" s="89">
        <v>0</v>
      </c>
      <c r="S501" s="89">
        <v>22462.544271999999</v>
      </c>
      <c r="T501"/>
      <c r="U501" t="s">
        <v>129</v>
      </c>
      <c r="V501" t="s">
        <v>129</v>
      </c>
      <c r="Y501" t="s">
        <v>185</v>
      </c>
      <c r="Z501" t="s">
        <v>131</v>
      </c>
      <c r="AA501" s="90">
        <v>90813</v>
      </c>
      <c r="AB501" t="s">
        <v>132</v>
      </c>
      <c r="AC501" t="s">
        <v>1</v>
      </c>
      <c r="AD501" t="s">
        <v>140</v>
      </c>
    </row>
    <row r="502" spans="2:30" x14ac:dyDescent="0.25">
      <c r="B502">
        <v>100270</v>
      </c>
      <c r="C502" t="s">
        <v>1045</v>
      </c>
      <c r="D502">
        <v>2016</v>
      </c>
      <c r="F502" s="89">
        <v>2234.1031364389901</v>
      </c>
      <c r="G502" s="89" t="s">
        <v>128</v>
      </c>
      <c r="H502" s="89"/>
      <c r="I502" s="89">
        <v>2234.1031364389901</v>
      </c>
      <c r="J502" s="89">
        <v>0</v>
      </c>
      <c r="K502" s="89">
        <v>0</v>
      </c>
      <c r="L502" s="89">
        <v>0</v>
      </c>
      <c r="M502" s="89">
        <v>0</v>
      </c>
      <c r="N502" s="89"/>
      <c r="O502" s="89">
        <v>0</v>
      </c>
      <c r="P502" s="89">
        <v>0</v>
      </c>
      <c r="Q502" s="89">
        <v>0</v>
      </c>
      <c r="R502" s="89">
        <v>0</v>
      </c>
      <c r="S502" s="89">
        <v>2234.1031364389901</v>
      </c>
      <c r="T502"/>
      <c r="U502" t="s">
        <v>129</v>
      </c>
      <c r="V502" t="s">
        <v>129</v>
      </c>
      <c r="Y502" t="s">
        <v>283</v>
      </c>
      <c r="Z502" t="s">
        <v>131</v>
      </c>
      <c r="AA502" s="90">
        <v>92121</v>
      </c>
      <c r="AB502" t="s">
        <v>132</v>
      </c>
      <c r="AC502" t="s">
        <v>0</v>
      </c>
      <c r="AD502" t="s">
        <v>140</v>
      </c>
    </row>
    <row r="503" spans="2:30" x14ac:dyDescent="0.25">
      <c r="B503">
        <v>101607</v>
      </c>
      <c r="C503" t="s">
        <v>1046</v>
      </c>
      <c r="D503">
        <v>2016</v>
      </c>
      <c r="F503" s="89">
        <v>58559.771700898003</v>
      </c>
      <c r="G503" s="89" t="s">
        <v>128</v>
      </c>
      <c r="H503" s="89"/>
      <c r="I503" s="89">
        <v>58559.771700898003</v>
      </c>
      <c r="J503" s="89">
        <v>0</v>
      </c>
      <c r="K503" s="89">
        <v>0</v>
      </c>
      <c r="L503" s="89">
        <v>0</v>
      </c>
      <c r="M503" s="89">
        <v>0</v>
      </c>
      <c r="N503" s="89"/>
      <c r="O503" s="89">
        <v>0</v>
      </c>
      <c r="P503" s="89">
        <v>0</v>
      </c>
      <c r="Q503" s="89">
        <v>0</v>
      </c>
      <c r="R503" s="89">
        <v>0</v>
      </c>
      <c r="S503" s="89">
        <v>58559.771700898003</v>
      </c>
      <c r="T503"/>
      <c r="U503" t="s">
        <v>155</v>
      </c>
      <c r="V503" t="s">
        <v>129</v>
      </c>
      <c r="W503" t="s">
        <v>222</v>
      </c>
      <c r="Y503" t="s">
        <v>573</v>
      </c>
      <c r="Z503" t="s">
        <v>131</v>
      </c>
      <c r="AA503" s="90">
        <v>94103</v>
      </c>
      <c r="AB503" t="s">
        <v>569</v>
      </c>
      <c r="AC503" t="s">
        <v>0</v>
      </c>
      <c r="AD503" t="s">
        <v>143</v>
      </c>
    </row>
    <row r="504" spans="2:30" x14ac:dyDescent="0.25">
      <c r="B504">
        <v>104217</v>
      </c>
      <c r="C504" t="s">
        <v>1047</v>
      </c>
      <c r="D504">
        <v>2016</v>
      </c>
      <c r="F504" s="89">
        <v>46463.733668403002</v>
      </c>
      <c r="G504" s="89" t="s">
        <v>128</v>
      </c>
      <c r="H504" s="89"/>
      <c r="I504" s="89">
        <v>46463.733668403002</v>
      </c>
      <c r="J504" s="89">
        <v>0</v>
      </c>
      <c r="K504" s="89">
        <v>0</v>
      </c>
      <c r="L504" s="89">
        <v>0</v>
      </c>
      <c r="M504" s="89">
        <v>0</v>
      </c>
      <c r="N504" s="89"/>
      <c r="O504" s="89">
        <v>46463.733668403002</v>
      </c>
      <c r="P504" s="89">
        <v>0</v>
      </c>
      <c r="Q504" s="89">
        <v>0</v>
      </c>
      <c r="R504" s="89">
        <v>46463.733668403002</v>
      </c>
      <c r="S504" s="89">
        <v>0</v>
      </c>
      <c r="T504"/>
      <c r="U504" t="s">
        <v>155</v>
      </c>
      <c r="V504" t="s">
        <v>129</v>
      </c>
      <c r="W504" t="s">
        <v>222</v>
      </c>
      <c r="Y504" t="s">
        <v>460</v>
      </c>
      <c r="Z504" t="s">
        <v>131</v>
      </c>
      <c r="AA504" s="90">
        <v>94509</v>
      </c>
      <c r="AB504" t="s">
        <v>132</v>
      </c>
      <c r="AC504" t="s">
        <v>385</v>
      </c>
      <c r="AD504" t="s">
        <v>140</v>
      </c>
    </row>
    <row r="505" spans="2:30" x14ac:dyDescent="0.25">
      <c r="B505">
        <v>100891</v>
      </c>
      <c r="C505" t="s">
        <v>1048</v>
      </c>
      <c r="D505">
        <v>2016</v>
      </c>
      <c r="F505" s="89">
        <v>173.12086400000001</v>
      </c>
      <c r="G505" s="89" t="s">
        <v>128</v>
      </c>
      <c r="H505" s="89"/>
      <c r="I505" s="89">
        <v>173.12086400000001</v>
      </c>
      <c r="J505" s="89">
        <v>0</v>
      </c>
      <c r="K505" s="89">
        <v>0</v>
      </c>
      <c r="L505" s="89">
        <v>0</v>
      </c>
      <c r="M505" s="89">
        <v>0</v>
      </c>
      <c r="N505" s="89"/>
      <c r="O505" s="89">
        <v>173.12086400000001</v>
      </c>
      <c r="P505" s="89">
        <v>0</v>
      </c>
      <c r="Q505" s="89">
        <v>0</v>
      </c>
      <c r="R505" s="89">
        <v>173.12086400000001</v>
      </c>
      <c r="S505" s="89">
        <v>0</v>
      </c>
      <c r="T505"/>
      <c r="U505" t="s">
        <v>155</v>
      </c>
      <c r="V505" t="s">
        <v>129</v>
      </c>
      <c r="W505" t="s">
        <v>297</v>
      </c>
      <c r="Y505" t="s">
        <v>178</v>
      </c>
      <c r="Z505" t="s">
        <v>131</v>
      </c>
      <c r="AA505" s="90">
        <v>93308</v>
      </c>
      <c r="AB505" t="s">
        <v>132</v>
      </c>
      <c r="AC505" t="s">
        <v>0</v>
      </c>
      <c r="AD505" t="s">
        <v>133</v>
      </c>
    </row>
    <row r="506" spans="2:30" x14ac:dyDescent="0.25">
      <c r="B506">
        <v>101500</v>
      </c>
      <c r="C506" t="s">
        <v>1049</v>
      </c>
      <c r="D506">
        <v>2016</v>
      </c>
      <c r="F506" s="89">
        <v>47695.583497599997</v>
      </c>
      <c r="G506" s="89" t="s">
        <v>128</v>
      </c>
      <c r="H506" s="89"/>
      <c r="I506" s="89">
        <v>47695.583497599997</v>
      </c>
      <c r="J506" s="89">
        <v>0</v>
      </c>
      <c r="K506" s="89">
        <v>0</v>
      </c>
      <c r="L506" s="89">
        <v>0</v>
      </c>
      <c r="M506" s="89">
        <v>0</v>
      </c>
      <c r="N506" s="89"/>
      <c r="O506" s="89">
        <v>47695.583497599997</v>
      </c>
      <c r="P506" s="89">
        <v>0</v>
      </c>
      <c r="Q506" s="89">
        <v>0</v>
      </c>
      <c r="R506" s="89">
        <v>47695.583497599997</v>
      </c>
      <c r="S506" s="89">
        <v>0</v>
      </c>
      <c r="T506"/>
      <c r="U506" t="s">
        <v>155</v>
      </c>
      <c r="V506" t="s">
        <v>155</v>
      </c>
      <c r="W506" t="s">
        <v>215</v>
      </c>
      <c r="Y506" t="s">
        <v>989</v>
      </c>
      <c r="Z506" t="s">
        <v>131</v>
      </c>
      <c r="AA506" s="90">
        <v>95987</v>
      </c>
      <c r="AB506" t="s">
        <v>485</v>
      </c>
      <c r="AC506" t="s">
        <v>0</v>
      </c>
      <c r="AD506" t="s">
        <v>143</v>
      </c>
    </row>
    <row r="507" spans="2:30" x14ac:dyDescent="0.25">
      <c r="B507">
        <v>101213</v>
      </c>
      <c r="C507" t="s">
        <v>1050</v>
      </c>
      <c r="D507">
        <v>2016</v>
      </c>
      <c r="F507" s="89">
        <v>36410.411796799999</v>
      </c>
      <c r="G507" s="89" t="s">
        <v>128</v>
      </c>
      <c r="H507" s="89"/>
      <c r="I507" s="89">
        <v>36410.411796799999</v>
      </c>
      <c r="J507" s="89">
        <v>0</v>
      </c>
      <c r="K507" s="89">
        <v>0</v>
      </c>
      <c r="L507" s="89">
        <v>0</v>
      </c>
      <c r="M507" s="89">
        <v>0</v>
      </c>
      <c r="N507" s="89"/>
      <c r="O507" s="89">
        <v>36410.411796799999</v>
      </c>
      <c r="P507" s="89">
        <v>0</v>
      </c>
      <c r="Q507" s="89">
        <v>0</v>
      </c>
      <c r="R507" s="89">
        <v>36410.411796799999</v>
      </c>
      <c r="S507" s="89">
        <v>0</v>
      </c>
      <c r="T507"/>
      <c r="U507" t="s">
        <v>155</v>
      </c>
      <c r="V507" t="s">
        <v>155</v>
      </c>
      <c r="W507" t="s">
        <v>215</v>
      </c>
      <c r="Y507" t="s">
        <v>759</v>
      </c>
      <c r="Z507" t="s">
        <v>131</v>
      </c>
      <c r="AA507" s="90">
        <v>93245</v>
      </c>
      <c r="AB507" t="s">
        <v>485</v>
      </c>
      <c r="AC507" t="s">
        <v>0</v>
      </c>
      <c r="AD507" t="s">
        <v>143</v>
      </c>
    </row>
    <row r="508" spans="2:30" x14ac:dyDescent="0.25">
      <c r="B508">
        <v>104069</v>
      </c>
      <c r="C508" t="s">
        <v>1051</v>
      </c>
      <c r="D508">
        <v>2016</v>
      </c>
      <c r="F508" s="89">
        <v>30597.423960960001</v>
      </c>
      <c r="G508" s="89" t="s">
        <v>128</v>
      </c>
      <c r="H508" s="89"/>
      <c r="I508" s="89">
        <v>30597.423960960001</v>
      </c>
      <c r="J508" s="89">
        <v>0</v>
      </c>
      <c r="K508" s="89">
        <v>0</v>
      </c>
      <c r="L508" s="89">
        <v>0</v>
      </c>
      <c r="M508" s="89">
        <v>0</v>
      </c>
      <c r="N508" s="89"/>
      <c r="O508" s="89">
        <v>30597.423960960001</v>
      </c>
      <c r="P508" s="89">
        <v>0</v>
      </c>
      <c r="Q508" s="89">
        <v>0</v>
      </c>
      <c r="R508" s="89">
        <v>30597.423960960001</v>
      </c>
      <c r="S508" s="89">
        <v>0</v>
      </c>
      <c r="T508"/>
      <c r="U508" t="s">
        <v>155</v>
      </c>
      <c r="V508" t="s">
        <v>155</v>
      </c>
      <c r="W508" t="s">
        <v>215</v>
      </c>
      <c r="Y508" t="s">
        <v>446</v>
      </c>
      <c r="Z508" t="s">
        <v>131</v>
      </c>
      <c r="AA508" s="90">
        <v>93622</v>
      </c>
      <c r="AB508" t="s">
        <v>1052</v>
      </c>
      <c r="AC508" t="s">
        <v>0</v>
      </c>
      <c r="AD508" t="s">
        <v>143</v>
      </c>
    </row>
    <row r="509" spans="2:30" x14ac:dyDescent="0.25">
      <c r="B509">
        <v>101284</v>
      </c>
      <c r="C509" t="s">
        <v>1053</v>
      </c>
      <c r="D509">
        <v>2016</v>
      </c>
      <c r="F509" s="89">
        <v>22858.789721599998</v>
      </c>
      <c r="G509" s="89" t="s">
        <v>128</v>
      </c>
      <c r="H509" s="89"/>
      <c r="I509" s="89">
        <v>22858.789721599998</v>
      </c>
      <c r="J509" s="89">
        <v>0</v>
      </c>
      <c r="K509" s="89">
        <v>0</v>
      </c>
      <c r="L509" s="89">
        <v>0</v>
      </c>
      <c r="M509" s="89">
        <v>0</v>
      </c>
      <c r="N509" s="89"/>
      <c r="O509" s="89">
        <v>0</v>
      </c>
      <c r="P509" s="89">
        <v>0</v>
      </c>
      <c r="Q509" s="89">
        <v>0</v>
      </c>
      <c r="R509" s="89">
        <v>0</v>
      </c>
      <c r="S509" s="89">
        <v>22858.789721599998</v>
      </c>
      <c r="T509"/>
      <c r="U509" t="s">
        <v>155</v>
      </c>
      <c r="V509" t="s">
        <v>155</v>
      </c>
      <c r="W509" t="s">
        <v>215</v>
      </c>
      <c r="Y509" t="s">
        <v>456</v>
      </c>
      <c r="Z509" t="s">
        <v>131</v>
      </c>
      <c r="AA509" s="90">
        <v>95020</v>
      </c>
      <c r="AB509" t="s">
        <v>1052</v>
      </c>
      <c r="AC509" t="s">
        <v>0</v>
      </c>
      <c r="AD509" t="s">
        <v>143</v>
      </c>
    </row>
    <row r="510" spans="2:30" x14ac:dyDescent="0.25">
      <c r="B510">
        <v>104378</v>
      </c>
      <c r="C510" t="s">
        <v>1054</v>
      </c>
      <c r="D510">
        <v>2016</v>
      </c>
      <c r="F510" s="89">
        <v>17831.650665599998</v>
      </c>
      <c r="G510" s="89" t="s">
        <v>128</v>
      </c>
      <c r="H510" s="89"/>
      <c r="I510" s="89">
        <v>17831.650665599998</v>
      </c>
      <c r="J510" s="89">
        <v>0</v>
      </c>
      <c r="K510" s="89">
        <v>0</v>
      </c>
      <c r="L510" s="89">
        <v>0</v>
      </c>
      <c r="M510" s="89">
        <v>0</v>
      </c>
      <c r="N510" s="89"/>
      <c r="O510" s="89">
        <v>0</v>
      </c>
      <c r="P510" s="89">
        <v>0</v>
      </c>
      <c r="Q510" s="89">
        <v>0</v>
      </c>
      <c r="R510" s="89">
        <v>0</v>
      </c>
      <c r="S510" s="89">
        <v>17831.650665599998</v>
      </c>
      <c r="T510"/>
      <c r="U510" t="s">
        <v>129</v>
      </c>
      <c r="V510" t="s">
        <v>129</v>
      </c>
      <c r="Y510" t="s">
        <v>1055</v>
      </c>
      <c r="Z510" t="s">
        <v>131</v>
      </c>
      <c r="AA510" s="90">
        <v>91342</v>
      </c>
      <c r="AB510" t="s">
        <v>500</v>
      </c>
      <c r="AC510" t="s">
        <v>0</v>
      </c>
      <c r="AD510" t="s">
        <v>143</v>
      </c>
    </row>
    <row r="511" spans="2:30" x14ac:dyDescent="0.25">
      <c r="B511">
        <v>100236</v>
      </c>
      <c r="C511" t="s">
        <v>1056</v>
      </c>
      <c r="D511">
        <v>2016</v>
      </c>
      <c r="F511" s="89">
        <v>107478.9783952</v>
      </c>
      <c r="G511" s="89" t="s">
        <v>128</v>
      </c>
      <c r="H511" s="89"/>
      <c r="I511" s="89">
        <v>107478.9783952</v>
      </c>
      <c r="J511" s="89">
        <v>0</v>
      </c>
      <c r="K511" s="89">
        <v>0</v>
      </c>
      <c r="L511" s="89">
        <v>0</v>
      </c>
      <c r="M511" s="89">
        <v>0</v>
      </c>
      <c r="N511" s="89"/>
      <c r="O511" s="89">
        <v>107478.9783952</v>
      </c>
      <c r="P511" s="89">
        <v>0</v>
      </c>
      <c r="Q511" s="89">
        <v>0</v>
      </c>
      <c r="R511" s="89">
        <v>107478.9783952</v>
      </c>
      <c r="S511" s="89">
        <v>0</v>
      </c>
      <c r="T511"/>
      <c r="U511" t="s">
        <v>155</v>
      </c>
      <c r="V511" t="s">
        <v>129</v>
      </c>
      <c r="W511" t="s">
        <v>297</v>
      </c>
      <c r="Y511" t="s">
        <v>1057</v>
      </c>
      <c r="Z511" t="s">
        <v>131</v>
      </c>
      <c r="AA511" s="90">
        <v>91710</v>
      </c>
      <c r="AB511" t="s">
        <v>132</v>
      </c>
      <c r="AC511" t="s">
        <v>0</v>
      </c>
      <c r="AD511" t="s">
        <v>133</v>
      </c>
    </row>
    <row r="512" spans="2:30" x14ac:dyDescent="0.25">
      <c r="B512">
        <v>101745</v>
      </c>
      <c r="C512" t="s">
        <v>1058</v>
      </c>
      <c r="D512">
        <v>2016</v>
      </c>
      <c r="F512" s="89">
        <v>34155.706255999998</v>
      </c>
      <c r="G512" s="89" t="s">
        <v>128</v>
      </c>
      <c r="H512" s="89"/>
      <c r="I512" s="89">
        <v>34155.706255999998</v>
      </c>
      <c r="J512" s="89">
        <v>0</v>
      </c>
      <c r="K512" s="89">
        <v>0</v>
      </c>
      <c r="L512" s="89">
        <v>0</v>
      </c>
      <c r="M512" s="89">
        <v>0</v>
      </c>
      <c r="N512" s="89"/>
      <c r="O512" s="89">
        <v>0</v>
      </c>
      <c r="P512" s="89">
        <v>0</v>
      </c>
      <c r="Q512" s="89">
        <v>0</v>
      </c>
      <c r="R512" s="89">
        <v>0</v>
      </c>
      <c r="S512" s="89">
        <v>34155.706255999998</v>
      </c>
      <c r="T512"/>
      <c r="U512" t="s">
        <v>155</v>
      </c>
      <c r="V512" t="s">
        <v>129</v>
      </c>
      <c r="W512" t="s">
        <v>368</v>
      </c>
      <c r="Y512" t="s">
        <v>795</v>
      </c>
      <c r="Z512" t="s">
        <v>131</v>
      </c>
      <c r="AA512" s="90">
        <v>92703</v>
      </c>
      <c r="AB512" t="s">
        <v>567</v>
      </c>
      <c r="AC512" t="s">
        <v>0</v>
      </c>
      <c r="AD512" t="s">
        <v>133</v>
      </c>
    </row>
    <row r="513" spans="2:30" x14ac:dyDescent="0.25">
      <c r="B513">
        <v>100255</v>
      </c>
      <c r="C513" t="s">
        <v>1059</v>
      </c>
      <c r="D513">
        <v>2016</v>
      </c>
      <c r="F513" s="89">
        <v>24845.6213453856</v>
      </c>
      <c r="G513" s="89" t="s">
        <v>128</v>
      </c>
      <c r="H513" s="89"/>
      <c r="I513" s="89">
        <v>2930.0923453856899</v>
      </c>
      <c r="J513" s="89">
        <v>21915.528999999999</v>
      </c>
      <c r="K513" s="89">
        <v>0</v>
      </c>
      <c r="L513" s="89">
        <v>0</v>
      </c>
      <c r="M513" s="89">
        <v>0</v>
      </c>
      <c r="N513" s="89"/>
      <c r="O513" s="89">
        <v>0</v>
      </c>
      <c r="P513" s="89">
        <v>0</v>
      </c>
      <c r="Q513" s="89">
        <v>0</v>
      </c>
      <c r="R513" s="89">
        <v>0</v>
      </c>
      <c r="S513" s="89">
        <v>24845.6213453856</v>
      </c>
      <c r="T513"/>
      <c r="U513" t="s">
        <v>155</v>
      </c>
      <c r="V513" t="s">
        <v>129</v>
      </c>
      <c r="W513" t="s">
        <v>1060</v>
      </c>
      <c r="Y513" t="s">
        <v>1061</v>
      </c>
      <c r="Z513" t="s">
        <v>131</v>
      </c>
      <c r="AA513" s="90">
        <v>92708</v>
      </c>
      <c r="AB513" t="s">
        <v>504</v>
      </c>
      <c r="AC513" t="s">
        <v>0</v>
      </c>
      <c r="AD513" t="s">
        <v>143</v>
      </c>
    </row>
    <row r="514" spans="2:30" x14ac:dyDescent="0.25">
      <c r="B514">
        <v>101280</v>
      </c>
      <c r="C514" t="s">
        <v>1062</v>
      </c>
      <c r="D514">
        <v>2016</v>
      </c>
      <c r="F514" s="89">
        <v>33246.056201149899</v>
      </c>
      <c r="G514" s="89" t="s">
        <v>128</v>
      </c>
      <c r="H514" s="89"/>
      <c r="I514" s="89">
        <v>2938.3352011499001</v>
      </c>
      <c r="J514" s="89">
        <v>30307.721000000001</v>
      </c>
      <c r="K514" s="89">
        <v>0</v>
      </c>
      <c r="L514" s="89">
        <v>0</v>
      </c>
      <c r="M514" s="89">
        <v>0</v>
      </c>
      <c r="N514" s="89"/>
      <c r="O514" s="89">
        <v>0</v>
      </c>
      <c r="P514" s="89">
        <v>0</v>
      </c>
      <c r="Q514" s="89">
        <v>0</v>
      </c>
      <c r="R514" s="89">
        <v>0</v>
      </c>
      <c r="S514" s="89">
        <v>33246.056201149899</v>
      </c>
      <c r="T514"/>
      <c r="U514" t="s">
        <v>155</v>
      </c>
      <c r="V514" t="s">
        <v>129</v>
      </c>
      <c r="W514" t="s">
        <v>1060</v>
      </c>
      <c r="Y514" t="s">
        <v>187</v>
      </c>
      <c r="Z514" t="s">
        <v>131</v>
      </c>
      <c r="AA514" s="90">
        <v>92646</v>
      </c>
      <c r="AB514" t="s">
        <v>504</v>
      </c>
      <c r="AC514" t="s">
        <v>0</v>
      </c>
      <c r="AD514" t="s">
        <v>143</v>
      </c>
    </row>
    <row r="515" spans="2:30" x14ac:dyDescent="0.25">
      <c r="B515">
        <v>104053</v>
      </c>
      <c r="C515" t="s">
        <v>1063</v>
      </c>
      <c r="D515">
        <v>2016</v>
      </c>
      <c r="F515" s="89">
        <v>24558.865408000001</v>
      </c>
      <c r="G515" s="89" t="s">
        <v>128</v>
      </c>
      <c r="H515" s="89"/>
      <c r="I515" s="89">
        <v>24558.865408000001</v>
      </c>
      <c r="J515" s="89">
        <v>0</v>
      </c>
      <c r="K515" s="89">
        <v>0</v>
      </c>
      <c r="L515" s="89">
        <v>0</v>
      </c>
      <c r="M515" s="89">
        <v>0</v>
      </c>
      <c r="N515" s="89"/>
      <c r="O515" s="89">
        <v>24558.865408000001</v>
      </c>
      <c r="P515" s="89">
        <v>0</v>
      </c>
      <c r="Q515" s="89">
        <v>0</v>
      </c>
      <c r="R515" s="89">
        <v>24558.865408000001</v>
      </c>
      <c r="S515" s="89">
        <v>0</v>
      </c>
      <c r="T515"/>
      <c r="U515" t="s">
        <v>155</v>
      </c>
      <c r="V515" t="s">
        <v>129</v>
      </c>
      <c r="W515" t="s">
        <v>368</v>
      </c>
      <c r="Y515" t="s">
        <v>1064</v>
      </c>
      <c r="Z515" t="s">
        <v>131</v>
      </c>
      <c r="AA515" s="90">
        <v>92059</v>
      </c>
      <c r="AB515" t="s">
        <v>132</v>
      </c>
      <c r="AC515" t="s">
        <v>1</v>
      </c>
      <c r="AD515" t="s">
        <v>140</v>
      </c>
    </row>
    <row r="516" spans="2:30" x14ac:dyDescent="0.25">
      <c r="B516">
        <v>104675</v>
      </c>
      <c r="C516" t="s">
        <v>1065</v>
      </c>
      <c r="D516">
        <v>2016</v>
      </c>
      <c r="F516" s="89">
        <v>10792.1752785146</v>
      </c>
      <c r="G516" s="89" t="s">
        <v>128</v>
      </c>
      <c r="H516" s="89"/>
      <c r="I516" s="89">
        <v>10792.1752785146</v>
      </c>
      <c r="J516" s="89">
        <v>0</v>
      </c>
      <c r="K516" s="89">
        <v>0</v>
      </c>
      <c r="L516" s="89">
        <v>0</v>
      </c>
      <c r="M516" s="89">
        <v>0</v>
      </c>
      <c r="N516" s="89"/>
      <c r="O516" s="89">
        <v>0</v>
      </c>
      <c r="P516" s="89">
        <v>0</v>
      </c>
      <c r="Q516" s="89">
        <v>0</v>
      </c>
      <c r="R516" s="89">
        <v>0</v>
      </c>
      <c r="S516" s="89">
        <v>10792.1752785146</v>
      </c>
      <c r="T516"/>
      <c r="U516" t="s">
        <v>129</v>
      </c>
      <c r="V516" t="s">
        <v>129</v>
      </c>
      <c r="Y516" t="s">
        <v>1066</v>
      </c>
      <c r="Z516" t="s">
        <v>131</v>
      </c>
      <c r="AA516" s="90">
        <v>92865</v>
      </c>
      <c r="AB516" t="s">
        <v>218</v>
      </c>
      <c r="AC516" t="s">
        <v>0</v>
      </c>
      <c r="AD516" t="s">
        <v>143</v>
      </c>
    </row>
    <row r="517" spans="2:30" x14ac:dyDescent="0.25">
      <c r="B517">
        <v>104555</v>
      </c>
      <c r="C517" t="s">
        <v>1501</v>
      </c>
      <c r="D517">
        <v>2016</v>
      </c>
      <c r="F517" s="89">
        <v>0</v>
      </c>
      <c r="G517" s="89" t="s">
        <v>128</v>
      </c>
      <c r="H517" s="89"/>
      <c r="I517" s="89">
        <v>0</v>
      </c>
      <c r="J517" s="89">
        <v>0</v>
      </c>
      <c r="K517" s="89">
        <v>0</v>
      </c>
      <c r="L517" s="89">
        <v>0</v>
      </c>
      <c r="M517" s="89">
        <v>0</v>
      </c>
      <c r="N517" s="89"/>
      <c r="O517" s="89">
        <v>0</v>
      </c>
      <c r="P517" s="89">
        <v>0</v>
      </c>
      <c r="Q517" s="89">
        <v>0</v>
      </c>
      <c r="R517" s="89">
        <v>0</v>
      </c>
      <c r="S517" s="89">
        <v>0</v>
      </c>
      <c r="T517"/>
      <c r="U517" t="s">
        <v>129</v>
      </c>
      <c r="V517" t="s">
        <v>129</v>
      </c>
      <c r="Y517" t="s">
        <v>144</v>
      </c>
      <c r="Z517" t="s">
        <v>145</v>
      </c>
      <c r="AA517" s="90">
        <v>85249</v>
      </c>
      <c r="AB517" t="s">
        <v>146</v>
      </c>
      <c r="AC517" t="s">
        <v>147</v>
      </c>
      <c r="AD517" t="s">
        <v>148</v>
      </c>
    </row>
    <row r="518" spans="2:30" x14ac:dyDescent="0.25">
      <c r="B518">
        <v>104495</v>
      </c>
      <c r="C518" t="s">
        <v>1067</v>
      </c>
      <c r="D518">
        <v>2016</v>
      </c>
      <c r="F518" s="89">
        <v>16502.242670848002</v>
      </c>
      <c r="G518" s="89" t="s">
        <v>128</v>
      </c>
      <c r="H518" s="89"/>
      <c r="I518" s="89">
        <v>16502.242670848002</v>
      </c>
      <c r="J518" s="89">
        <v>0</v>
      </c>
      <c r="K518" s="89">
        <v>0</v>
      </c>
      <c r="L518" s="89">
        <v>0</v>
      </c>
      <c r="M518" s="89">
        <v>0</v>
      </c>
      <c r="N518" s="89"/>
      <c r="O518" s="89">
        <v>0</v>
      </c>
      <c r="P518" s="89">
        <v>0</v>
      </c>
      <c r="Q518" s="89">
        <v>0</v>
      </c>
      <c r="R518" s="89">
        <v>0</v>
      </c>
      <c r="S518" s="89">
        <v>16502.242670848002</v>
      </c>
      <c r="T518"/>
      <c r="U518" t="s">
        <v>129</v>
      </c>
      <c r="V518" t="s">
        <v>129</v>
      </c>
      <c r="Y518" t="s">
        <v>1068</v>
      </c>
      <c r="Z518" t="s">
        <v>131</v>
      </c>
      <c r="AA518" s="90">
        <v>92227</v>
      </c>
      <c r="AB518" t="s">
        <v>455</v>
      </c>
      <c r="AC518" t="s">
        <v>0</v>
      </c>
      <c r="AD518" t="s">
        <v>140</v>
      </c>
    </row>
    <row r="519" spans="2:30" x14ac:dyDescent="0.25">
      <c r="B519">
        <v>100695</v>
      </c>
      <c r="C519" t="s">
        <v>1069</v>
      </c>
      <c r="D519">
        <v>2016</v>
      </c>
      <c r="F519" s="89">
        <v>16942.67387975</v>
      </c>
      <c r="G519" s="89" t="s">
        <v>128</v>
      </c>
      <c r="H519" s="89"/>
      <c r="I519" s="89">
        <v>16942.67387975</v>
      </c>
      <c r="J519" s="89">
        <v>0</v>
      </c>
      <c r="K519" s="89">
        <v>0</v>
      </c>
      <c r="L519" s="89">
        <v>0</v>
      </c>
      <c r="M519" s="89">
        <v>0</v>
      </c>
      <c r="N519" s="89"/>
      <c r="O519" s="89">
        <v>0</v>
      </c>
      <c r="P519" s="89">
        <v>0</v>
      </c>
      <c r="Q519" s="89">
        <v>0</v>
      </c>
      <c r="R519" s="89">
        <v>0</v>
      </c>
      <c r="S519" s="89">
        <v>16942.67387975</v>
      </c>
      <c r="T519"/>
      <c r="U519" t="s">
        <v>129</v>
      </c>
      <c r="V519" t="s">
        <v>129</v>
      </c>
      <c r="Y519" t="s">
        <v>1070</v>
      </c>
      <c r="Z519" t="s">
        <v>131</v>
      </c>
      <c r="AA519" s="90">
        <v>92250</v>
      </c>
      <c r="AB519" t="s">
        <v>139</v>
      </c>
      <c r="AC519" t="s">
        <v>0</v>
      </c>
      <c r="AD519" t="s">
        <v>140</v>
      </c>
    </row>
    <row r="520" spans="2:30" x14ac:dyDescent="0.25">
      <c r="B520">
        <v>101357</v>
      </c>
      <c r="C520" t="s">
        <v>1071</v>
      </c>
      <c r="D520">
        <v>2016</v>
      </c>
      <c r="F520" s="89">
        <v>75828.018512102397</v>
      </c>
      <c r="G520" s="89" t="s">
        <v>128</v>
      </c>
      <c r="H520" s="89"/>
      <c r="I520" s="89">
        <v>75828.018512102397</v>
      </c>
      <c r="J520" s="89">
        <v>0</v>
      </c>
      <c r="K520" s="89">
        <v>0</v>
      </c>
      <c r="L520" s="89">
        <v>0</v>
      </c>
      <c r="M520" s="89">
        <v>0</v>
      </c>
      <c r="N520" s="89"/>
      <c r="O520" s="89">
        <v>75828.018512102397</v>
      </c>
      <c r="P520" s="89">
        <v>0</v>
      </c>
      <c r="Q520" s="89">
        <v>0</v>
      </c>
      <c r="R520" s="89">
        <v>75828.018512102397</v>
      </c>
      <c r="S520" s="89">
        <v>0</v>
      </c>
      <c r="T520"/>
      <c r="U520" t="s">
        <v>155</v>
      </c>
      <c r="V520" t="s">
        <v>129</v>
      </c>
      <c r="W520" t="s">
        <v>277</v>
      </c>
      <c r="Y520" t="s">
        <v>289</v>
      </c>
      <c r="Z520" t="s">
        <v>131</v>
      </c>
      <c r="AA520" s="90">
        <v>93033</v>
      </c>
      <c r="AB520" t="s">
        <v>132</v>
      </c>
      <c r="AC520" t="s">
        <v>385</v>
      </c>
      <c r="AD520" t="s">
        <v>140</v>
      </c>
    </row>
    <row r="521" spans="2:30" x14ac:dyDescent="0.25">
      <c r="B521">
        <v>100106</v>
      </c>
      <c r="C521" t="s">
        <v>1072</v>
      </c>
      <c r="D521">
        <v>2016</v>
      </c>
      <c r="F521" s="89">
        <v>33359.531351549602</v>
      </c>
      <c r="G521" s="89" t="s">
        <v>128</v>
      </c>
      <c r="H521" s="89"/>
      <c r="I521" s="89">
        <v>167.33135154959999</v>
      </c>
      <c r="J521" s="89">
        <v>33192.199999999997</v>
      </c>
      <c r="K521" s="89">
        <v>0</v>
      </c>
      <c r="L521" s="89">
        <v>0</v>
      </c>
      <c r="M521" s="89">
        <v>0</v>
      </c>
      <c r="N521" s="89"/>
      <c r="O521" s="89">
        <v>0</v>
      </c>
      <c r="P521" s="89">
        <v>0</v>
      </c>
      <c r="Q521" s="89">
        <v>0</v>
      </c>
      <c r="R521" s="89">
        <v>0</v>
      </c>
      <c r="S521" s="89">
        <v>33359.531351549602</v>
      </c>
      <c r="T521"/>
      <c r="U521" t="s">
        <v>155</v>
      </c>
      <c r="V521" t="s">
        <v>129</v>
      </c>
      <c r="W521" t="s">
        <v>232</v>
      </c>
      <c r="Y521" t="s">
        <v>1073</v>
      </c>
      <c r="Z521" t="s">
        <v>131</v>
      </c>
      <c r="AA521" s="90">
        <v>91911</v>
      </c>
      <c r="AB521" t="s">
        <v>241</v>
      </c>
      <c r="AC521" t="s">
        <v>0</v>
      </c>
      <c r="AD521" t="s">
        <v>140</v>
      </c>
    </row>
    <row r="522" spans="2:30" x14ac:dyDescent="0.25">
      <c r="B522">
        <v>101154</v>
      </c>
      <c r="C522" t="s">
        <v>1074</v>
      </c>
      <c r="D522">
        <v>2016</v>
      </c>
      <c r="F522" s="89">
        <v>14498.452123200001</v>
      </c>
      <c r="G522" s="89" t="s">
        <v>128</v>
      </c>
      <c r="H522" s="89"/>
      <c r="I522" s="89">
        <v>14498.452123200001</v>
      </c>
      <c r="J522" s="89">
        <v>0</v>
      </c>
      <c r="K522" s="89">
        <v>0</v>
      </c>
      <c r="L522" s="89">
        <v>0</v>
      </c>
      <c r="M522" s="89">
        <v>0</v>
      </c>
      <c r="N522" s="89"/>
      <c r="O522" s="89">
        <v>0</v>
      </c>
      <c r="P522" s="89">
        <v>0</v>
      </c>
      <c r="Q522" s="89">
        <v>0</v>
      </c>
      <c r="R522" s="89">
        <v>0</v>
      </c>
      <c r="S522" s="89">
        <v>14498.452123200001</v>
      </c>
      <c r="T522"/>
      <c r="U522" t="s">
        <v>155</v>
      </c>
      <c r="V522" t="s">
        <v>155</v>
      </c>
      <c r="W522" t="s">
        <v>292</v>
      </c>
      <c r="Y522" t="s">
        <v>413</v>
      </c>
      <c r="Z522" t="s">
        <v>131</v>
      </c>
      <c r="AA522" s="90">
        <v>95050</v>
      </c>
      <c r="AB522" t="s">
        <v>506</v>
      </c>
      <c r="AC522" t="s">
        <v>151</v>
      </c>
      <c r="AD522" t="s">
        <v>143</v>
      </c>
    </row>
    <row r="523" spans="2:30" x14ac:dyDescent="0.25">
      <c r="B523">
        <v>101042</v>
      </c>
      <c r="C523" t="s">
        <v>1502</v>
      </c>
      <c r="D523">
        <v>2016</v>
      </c>
      <c r="F523" s="89">
        <v>0</v>
      </c>
      <c r="G523" s="89" t="s">
        <v>128</v>
      </c>
      <c r="H523" s="89"/>
      <c r="I523" s="89">
        <v>0</v>
      </c>
      <c r="J523" s="89">
        <v>0</v>
      </c>
      <c r="K523" s="89">
        <v>0</v>
      </c>
      <c r="L523" s="89">
        <v>0</v>
      </c>
      <c r="M523" s="89">
        <v>0</v>
      </c>
      <c r="N523" s="89"/>
      <c r="O523" s="89">
        <v>0</v>
      </c>
      <c r="P523" s="89">
        <v>0</v>
      </c>
      <c r="Q523" s="89">
        <v>0</v>
      </c>
      <c r="R523" s="89">
        <v>0</v>
      </c>
      <c r="S523" s="89">
        <v>0</v>
      </c>
      <c r="T523"/>
      <c r="U523" t="s">
        <v>129</v>
      </c>
      <c r="V523" t="s">
        <v>129</v>
      </c>
      <c r="Y523" t="s">
        <v>149</v>
      </c>
      <c r="Z523" t="s">
        <v>131</v>
      </c>
      <c r="AA523" s="90">
        <v>94601</v>
      </c>
      <c r="AB523" t="s">
        <v>150</v>
      </c>
      <c r="AC523" t="s">
        <v>151</v>
      </c>
      <c r="AD523" t="s">
        <v>143</v>
      </c>
    </row>
    <row r="524" spans="2:30" x14ac:dyDescent="0.25">
      <c r="B524">
        <v>101183</v>
      </c>
      <c r="C524" t="s">
        <v>1075</v>
      </c>
      <c r="D524">
        <v>2016</v>
      </c>
      <c r="F524" s="89">
        <v>89729.795707199999</v>
      </c>
      <c r="G524" s="89" t="s">
        <v>128</v>
      </c>
      <c r="H524" s="89"/>
      <c r="I524" s="89">
        <v>89729.795707199999</v>
      </c>
      <c r="J524" s="89">
        <v>0</v>
      </c>
      <c r="K524" s="89">
        <v>0</v>
      </c>
      <c r="L524" s="89">
        <v>0</v>
      </c>
      <c r="M524" s="89">
        <v>0</v>
      </c>
      <c r="N524" s="89"/>
      <c r="O524" s="89">
        <v>89729.795707199999</v>
      </c>
      <c r="P524" s="89">
        <v>0</v>
      </c>
      <c r="Q524" s="89">
        <v>0</v>
      </c>
      <c r="R524" s="89">
        <v>89729.795707199999</v>
      </c>
      <c r="S524" s="89">
        <v>0</v>
      </c>
      <c r="T524"/>
      <c r="U524" t="s">
        <v>155</v>
      </c>
      <c r="V524" t="s">
        <v>155</v>
      </c>
      <c r="W524" t="s">
        <v>1076</v>
      </c>
      <c r="Y524" t="s">
        <v>1077</v>
      </c>
      <c r="Z524" t="s">
        <v>131</v>
      </c>
      <c r="AA524" s="90">
        <v>95377</v>
      </c>
      <c r="AB524" t="s">
        <v>150</v>
      </c>
      <c r="AC524" t="s">
        <v>151</v>
      </c>
      <c r="AD524" t="s">
        <v>143</v>
      </c>
    </row>
    <row r="525" spans="2:30" x14ac:dyDescent="0.25">
      <c r="B525">
        <v>101475</v>
      </c>
      <c r="C525" t="s">
        <v>1078</v>
      </c>
      <c r="D525">
        <v>2016</v>
      </c>
      <c r="F525" s="89">
        <v>63553.829691200001</v>
      </c>
      <c r="G525" s="89" t="s">
        <v>128</v>
      </c>
      <c r="H525" s="89"/>
      <c r="I525" s="89">
        <v>63553.829691200001</v>
      </c>
      <c r="J525" s="89">
        <v>0</v>
      </c>
      <c r="K525" s="89">
        <v>0</v>
      </c>
      <c r="L525" s="89">
        <v>0</v>
      </c>
      <c r="M525" s="89">
        <v>0</v>
      </c>
      <c r="N525" s="89"/>
      <c r="O525" s="89">
        <v>63553.829691200001</v>
      </c>
      <c r="P525" s="89">
        <v>0</v>
      </c>
      <c r="Q525" s="89">
        <v>0</v>
      </c>
      <c r="R525" s="89">
        <v>63553.829691200001</v>
      </c>
      <c r="S525" s="89">
        <v>0</v>
      </c>
      <c r="T525"/>
      <c r="U525" t="s">
        <v>155</v>
      </c>
      <c r="V525" t="s">
        <v>155</v>
      </c>
      <c r="W525" t="s">
        <v>1076</v>
      </c>
      <c r="Y525" t="s">
        <v>318</v>
      </c>
      <c r="Z525" t="s">
        <v>131</v>
      </c>
      <c r="AA525" s="90">
        <v>90058</v>
      </c>
      <c r="AB525" t="s">
        <v>150</v>
      </c>
      <c r="AC525" t="s">
        <v>151</v>
      </c>
      <c r="AD525" t="s">
        <v>143</v>
      </c>
    </row>
    <row r="526" spans="2:30" x14ac:dyDescent="0.25">
      <c r="B526">
        <v>104419</v>
      </c>
      <c r="C526" t="s">
        <v>1079</v>
      </c>
      <c r="D526">
        <v>2016</v>
      </c>
      <c r="F526" s="89">
        <v>11085.94631216</v>
      </c>
      <c r="G526" s="89" t="s">
        <v>128</v>
      </c>
      <c r="H526" s="89"/>
      <c r="I526" s="89">
        <v>11085.94631216</v>
      </c>
      <c r="J526" s="89">
        <v>0</v>
      </c>
      <c r="K526" s="89">
        <v>0</v>
      </c>
      <c r="L526" s="89">
        <v>0</v>
      </c>
      <c r="M526" s="89">
        <v>0</v>
      </c>
      <c r="N526" s="89"/>
      <c r="O526" s="89">
        <v>0</v>
      </c>
      <c r="P526" s="89">
        <v>0</v>
      </c>
      <c r="Q526" s="89">
        <v>0</v>
      </c>
      <c r="R526" s="89">
        <v>0</v>
      </c>
      <c r="S526" s="89">
        <v>11085.94631216</v>
      </c>
      <c r="T526"/>
      <c r="U526" t="s">
        <v>129</v>
      </c>
      <c r="V526" t="s">
        <v>129</v>
      </c>
      <c r="Y526" t="s">
        <v>686</v>
      </c>
      <c r="Z526" t="s">
        <v>131</v>
      </c>
      <c r="AA526" s="90">
        <v>95648</v>
      </c>
      <c r="AB526" t="s">
        <v>919</v>
      </c>
      <c r="AC526" t="s">
        <v>0</v>
      </c>
      <c r="AD526" t="s">
        <v>143</v>
      </c>
    </row>
    <row r="527" spans="2:30" x14ac:dyDescent="0.25">
      <c r="B527">
        <v>104383</v>
      </c>
      <c r="C527" t="s">
        <v>1080</v>
      </c>
      <c r="D527">
        <v>2016</v>
      </c>
      <c r="F527" s="89">
        <v>17689.599999999999</v>
      </c>
      <c r="G527" s="89" t="s">
        <v>128</v>
      </c>
      <c r="H527" s="89"/>
      <c r="I527" s="89">
        <v>17689.599999999999</v>
      </c>
      <c r="J527" s="89">
        <v>0</v>
      </c>
      <c r="K527" s="89">
        <v>0</v>
      </c>
      <c r="L527" s="89">
        <v>0</v>
      </c>
      <c r="M527" s="89">
        <v>0</v>
      </c>
      <c r="N527" s="89"/>
      <c r="O527" s="89">
        <v>0</v>
      </c>
      <c r="P527" s="89">
        <v>0</v>
      </c>
      <c r="Q527" s="89">
        <v>0</v>
      </c>
      <c r="R527" s="89">
        <v>0</v>
      </c>
      <c r="S527" s="89">
        <v>17689.599999999999</v>
      </c>
      <c r="T527"/>
      <c r="U527" t="s">
        <v>129</v>
      </c>
      <c r="V527" t="s">
        <v>129</v>
      </c>
      <c r="Y527" t="s">
        <v>318</v>
      </c>
      <c r="Z527" t="s">
        <v>131</v>
      </c>
      <c r="AA527" s="90">
        <v>90058</v>
      </c>
      <c r="AB527" t="s">
        <v>835</v>
      </c>
      <c r="AC527" t="s">
        <v>0</v>
      </c>
      <c r="AD527" t="s">
        <v>143</v>
      </c>
    </row>
    <row r="528" spans="2:30" x14ac:dyDescent="0.25">
      <c r="B528">
        <v>104616</v>
      </c>
      <c r="C528" t="s">
        <v>1081</v>
      </c>
      <c r="D528">
        <v>2016</v>
      </c>
      <c r="F528" s="89">
        <v>15573.267235200001</v>
      </c>
      <c r="G528" s="89" t="s">
        <v>128</v>
      </c>
      <c r="H528" s="89"/>
      <c r="I528" s="89">
        <v>15573.267235200001</v>
      </c>
      <c r="J528" s="89">
        <v>0</v>
      </c>
      <c r="K528" s="89">
        <v>0</v>
      </c>
      <c r="L528" s="89">
        <v>0</v>
      </c>
      <c r="M528" s="89">
        <v>0</v>
      </c>
      <c r="N528" s="89"/>
      <c r="O528" s="89">
        <v>0</v>
      </c>
      <c r="P528" s="89">
        <v>0</v>
      </c>
      <c r="Q528" s="89">
        <v>0</v>
      </c>
      <c r="R528" s="89">
        <v>0</v>
      </c>
      <c r="S528" s="89">
        <v>15573.267235200001</v>
      </c>
      <c r="T528"/>
      <c r="U528" t="s">
        <v>129</v>
      </c>
      <c r="V528" t="s">
        <v>129</v>
      </c>
      <c r="Y528" t="s">
        <v>1082</v>
      </c>
      <c r="Z528" t="s">
        <v>131</v>
      </c>
      <c r="AA528" s="90">
        <v>92530</v>
      </c>
      <c r="AB528" t="s">
        <v>1083</v>
      </c>
      <c r="AC528" t="s">
        <v>0</v>
      </c>
      <c r="AD528" t="s">
        <v>143</v>
      </c>
    </row>
    <row r="529" spans="2:30" x14ac:dyDescent="0.25">
      <c r="B529">
        <v>101674</v>
      </c>
      <c r="C529" t="s">
        <v>1084</v>
      </c>
      <c r="D529">
        <v>2016</v>
      </c>
      <c r="F529" s="89">
        <v>29951.815759165798</v>
      </c>
      <c r="G529" s="89" t="s">
        <v>128</v>
      </c>
      <c r="H529" s="89"/>
      <c r="I529" s="89">
        <v>29951.815759165798</v>
      </c>
      <c r="J529" s="89">
        <v>0</v>
      </c>
      <c r="K529" s="89">
        <v>0</v>
      </c>
      <c r="L529" s="89">
        <v>0</v>
      </c>
      <c r="M529" s="89">
        <v>0</v>
      </c>
      <c r="N529" s="89"/>
      <c r="O529" s="89">
        <v>29920.792721165799</v>
      </c>
      <c r="P529" s="89">
        <v>0</v>
      </c>
      <c r="Q529" s="89">
        <v>0</v>
      </c>
      <c r="R529" s="89">
        <v>29920.792721165799</v>
      </c>
      <c r="S529" s="89">
        <v>31.023038</v>
      </c>
      <c r="T529"/>
      <c r="U529" t="s">
        <v>155</v>
      </c>
      <c r="V529" t="s">
        <v>155</v>
      </c>
      <c r="W529" t="s">
        <v>368</v>
      </c>
      <c r="Y529" t="s">
        <v>1085</v>
      </c>
      <c r="Z529" t="s">
        <v>131</v>
      </c>
      <c r="AA529" s="90">
        <v>93455</v>
      </c>
      <c r="AB529" t="s">
        <v>170</v>
      </c>
      <c r="AC529" t="s">
        <v>175</v>
      </c>
      <c r="AD529" t="s">
        <v>176</v>
      </c>
    </row>
    <row r="530" spans="2:30" x14ac:dyDescent="0.25">
      <c r="B530">
        <v>101207</v>
      </c>
      <c r="C530" t="s">
        <v>1086</v>
      </c>
      <c r="D530">
        <v>2016</v>
      </c>
      <c r="F530" s="89">
        <v>33267.391767101602</v>
      </c>
      <c r="G530" s="89" t="s">
        <v>128</v>
      </c>
      <c r="H530" s="89"/>
      <c r="I530" s="89">
        <v>33267.391767101602</v>
      </c>
      <c r="J530" s="89">
        <v>0</v>
      </c>
      <c r="K530" s="89">
        <v>0</v>
      </c>
      <c r="L530" s="89">
        <v>0</v>
      </c>
      <c r="M530" s="89">
        <v>0</v>
      </c>
      <c r="N530" s="89"/>
      <c r="O530" s="89">
        <v>33267.391767101602</v>
      </c>
      <c r="P530" s="89">
        <v>0</v>
      </c>
      <c r="Q530" s="89">
        <v>0</v>
      </c>
      <c r="R530" s="89">
        <v>33267.391767101602</v>
      </c>
      <c r="S530" s="89">
        <v>0</v>
      </c>
      <c r="T530"/>
      <c r="U530" t="s">
        <v>155</v>
      </c>
      <c r="V530" t="s">
        <v>155</v>
      </c>
      <c r="W530" t="s">
        <v>197</v>
      </c>
      <c r="Y530" t="s">
        <v>1087</v>
      </c>
      <c r="Z530" t="s">
        <v>131</v>
      </c>
      <c r="AA530" s="90">
        <v>95776</v>
      </c>
      <c r="AB530" t="s">
        <v>485</v>
      </c>
      <c r="AC530" t="s">
        <v>0</v>
      </c>
      <c r="AD530" t="s">
        <v>143</v>
      </c>
    </row>
    <row r="531" spans="2:30" x14ac:dyDescent="0.25">
      <c r="B531">
        <v>104740</v>
      </c>
      <c r="C531" t="s">
        <v>1522</v>
      </c>
      <c r="D531">
        <v>2016</v>
      </c>
      <c r="F531" s="89">
        <v>10448.576536233501</v>
      </c>
      <c r="G531" s="89" t="s">
        <v>128</v>
      </c>
      <c r="H531" s="89"/>
      <c r="I531" s="89">
        <v>10448.576536233501</v>
      </c>
      <c r="J531" s="89">
        <v>0</v>
      </c>
      <c r="K531" s="89">
        <v>0</v>
      </c>
      <c r="L531" s="89">
        <v>0</v>
      </c>
      <c r="M531" s="89">
        <v>0</v>
      </c>
      <c r="N531" s="89"/>
      <c r="O531" s="89">
        <v>0</v>
      </c>
      <c r="P531" s="89">
        <v>0</v>
      </c>
      <c r="Q531" s="89">
        <v>0</v>
      </c>
      <c r="R531" s="89">
        <v>0</v>
      </c>
      <c r="S531" s="89">
        <v>10448.576536233501</v>
      </c>
      <c r="T531"/>
      <c r="U531" t="s">
        <v>129</v>
      </c>
      <c r="V531" t="s">
        <v>129</v>
      </c>
      <c r="Y531" t="s">
        <v>1523</v>
      </c>
      <c r="Z531" t="s">
        <v>131</v>
      </c>
      <c r="AA531" s="90">
        <v>90221</v>
      </c>
      <c r="AB531" t="s">
        <v>1524</v>
      </c>
      <c r="AC531" t="s">
        <v>0</v>
      </c>
      <c r="AD531" t="s">
        <v>143</v>
      </c>
    </row>
    <row r="532" spans="2:30" x14ac:dyDescent="0.25">
      <c r="B532">
        <v>104540</v>
      </c>
      <c r="C532" t="s">
        <v>1088</v>
      </c>
      <c r="D532">
        <v>2016</v>
      </c>
      <c r="F532" s="89">
        <v>34563.835243200003</v>
      </c>
      <c r="G532" s="89" t="s">
        <v>128</v>
      </c>
      <c r="H532" s="89"/>
      <c r="I532" s="89">
        <v>34563.835243200003</v>
      </c>
      <c r="J532" s="89">
        <v>0</v>
      </c>
      <c r="K532" s="89">
        <v>0</v>
      </c>
      <c r="L532" s="89">
        <v>0</v>
      </c>
      <c r="M532" s="89">
        <v>0</v>
      </c>
      <c r="N532" s="89"/>
      <c r="O532" s="89">
        <v>34563.835243200003</v>
      </c>
      <c r="P532" s="89">
        <v>0</v>
      </c>
      <c r="Q532" s="89">
        <v>0</v>
      </c>
      <c r="R532" s="89">
        <v>34563.835243200003</v>
      </c>
      <c r="S532" s="89">
        <v>0</v>
      </c>
      <c r="T532"/>
      <c r="U532" t="s">
        <v>155</v>
      </c>
      <c r="V532" t="s">
        <v>129</v>
      </c>
      <c r="W532" t="s">
        <v>215</v>
      </c>
      <c r="Y532" t="s">
        <v>293</v>
      </c>
      <c r="Z532" t="s">
        <v>131</v>
      </c>
      <c r="AA532" s="90">
        <v>93638</v>
      </c>
      <c r="AB532" t="s">
        <v>166</v>
      </c>
      <c r="AC532" t="s">
        <v>0</v>
      </c>
      <c r="AD532" t="s">
        <v>143</v>
      </c>
    </row>
    <row r="533" spans="2:30" x14ac:dyDescent="0.25">
      <c r="B533">
        <v>104048</v>
      </c>
      <c r="C533" t="s">
        <v>1089</v>
      </c>
      <c r="D533">
        <v>2016</v>
      </c>
      <c r="F533" s="89">
        <v>49873.48</v>
      </c>
      <c r="G533" s="89" t="s">
        <v>128</v>
      </c>
      <c r="H533" s="89"/>
      <c r="I533" s="89">
        <v>49873.48</v>
      </c>
      <c r="J533" s="89">
        <v>0</v>
      </c>
      <c r="K533" s="89">
        <v>0</v>
      </c>
      <c r="L533" s="89">
        <v>0</v>
      </c>
      <c r="M533" s="89">
        <v>0</v>
      </c>
      <c r="N533" s="89"/>
      <c r="O533" s="89">
        <v>49873.48</v>
      </c>
      <c r="P533" s="89">
        <v>0</v>
      </c>
      <c r="Q533" s="89">
        <v>0</v>
      </c>
      <c r="R533" s="89">
        <v>49873.48</v>
      </c>
      <c r="S533" s="89">
        <v>0</v>
      </c>
      <c r="T533"/>
      <c r="U533" t="s">
        <v>155</v>
      </c>
      <c r="V533" t="s">
        <v>129</v>
      </c>
      <c r="W533" t="s">
        <v>215</v>
      </c>
      <c r="Y533" t="s">
        <v>487</v>
      </c>
      <c r="Z533" t="s">
        <v>131</v>
      </c>
      <c r="AA533" s="90">
        <v>95206</v>
      </c>
      <c r="AB533" t="s">
        <v>166</v>
      </c>
      <c r="AC533" t="s">
        <v>0</v>
      </c>
      <c r="AD533" t="s">
        <v>143</v>
      </c>
    </row>
    <row r="534" spans="2:30" x14ac:dyDescent="0.25">
      <c r="B534">
        <v>3002</v>
      </c>
      <c r="C534" t="s">
        <v>1090</v>
      </c>
      <c r="D534">
        <v>2016</v>
      </c>
      <c r="F534" s="89">
        <v>624209.20415999996</v>
      </c>
      <c r="G534" s="89" t="s">
        <v>128</v>
      </c>
      <c r="H534" s="89"/>
      <c r="I534" s="89">
        <v>0</v>
      </c>
      <c r="J534" s="89">
        <v>0</v>
      </c>
      <c r="K534" s="89">
        <v>0</v>
      </c>
      <c r="L534" s="89">
        <v>0</v>
      </c>
      <c r="M534" s="89">
        <v>624209.20415999996</v>
      </c>
      <c r="N534" s="89"/>
      <c r="O534" s="89">
        <v>0</v>
      </c>
      <c r="P534" s="89">
        <v>0</v>
      </c>
      <c r="Q534" s="89">
        <v>0</v>
      </c>
      <c r="R534" s="89">
        <v>0</v>
      </c>
      <c r="S534" s="89">
        <v>624209.20415999996</v>
      </c>
      <c r="T534"/>
      <c r="U534" t="s">
        <v>155</v>
      </c>
      <c r="V534" t="s">
        <v>129</v>
      </c>
      <c r="W534" t="s">
        <v>215</v>
      </c>
      <c r="Y534" t="s">
        <v>1091</v>
      </c>
      <c r="Z534" t="s">
        <v>131</v>
      </c>
      <c r="AA534" s="90">
        <v>94105</v>
      </c>
      <c r="AB534" t="s">
        <v>158</v>
      </c>
      <c r="AC534" t="s">
        <v>136</v>
      </c>
      <c r="AD534" t="s">
        <v>137</v>
      </c>
    </row>
    <row r="535" spans="2:30" x14ac:dyDescent="0.25">
      <c r="B535">
        <v>104025</v>
      </c>
      <c r="C535" t="s">
        <v>1092</v>
      </c>
      <c r="D535">
        <v>2016</v>
      </c>
      <c r="F535" s="89">
        <v>605689.79393789498</v>
      </c>
      <c r="G535" s="89" t="s">
        <v>128</v>
      </c>
      <c r="H535" s="89"/>
      <c r="I535" s="89">
        <v>605689.79393789498</v>
      </c>
      <c r="J535" s="89">
        <v>0</v>
      </c>
      <c r="K535" s="89">
        <v>0</v>
      </c>
      <c r="L535" s="89">
        <v>0</v>
      </c>
      <c r="M535" s="89">
        <v>0</v>
      </c>
      <c r="N535" s="89"/>
      <c r="O535" s="89">
        <v>0</v>
      </c>
      <c r="P535" s="89">
        <v>0</v>
      </c>
      <c r="Q535" s="89">
        <v>0</v>
      </c>
      <c r="R535" s="89">
        <v>0</v>
      </c>
      <c r="S535" s="89">
        <v>605689.79393789498</v>
      </c>
      <c r="T535"/>
      <c r="U535" t="s">
        <v>155</v>
      </c>
      <c r="V535" t="s">
        <v>129</v>
      </c>
      <c r="W535" t="s">
        <v>215</v>
      </c>
      <c r="Y535" t="s">
        <v>573</v>
      </c>
      <c r="Z535" t="s">
        <v>131</v>
      </c>
      <c r="AA535" s="90">
        <v>94105</v>
      </c>
      <c r="AB535" t="s">
        <v>550</v>
      </c>
      <c r="AC535" t="s">
        <v>63</v>
      </c>
      <c r="AD535" t="s">
        <v>176</v>
      </c>
    </row>
    <row r="536" spans="2:30" x14ac:dyDescent="0.25">
      <c r="B536">
        <v>104024</v>
      </c>
      <c r="C536" t="s">
        <v>1093</v>
      </c>
      <c r="D536">
        <v>2016</v>
      </c>
      <c r="F536" s="89">
        <v>38697655.7508673</v>
      </c>
      <c r="G536" s="89" t="s">
        <v>128</v>
      </c>
      <c r="H536" s="89"/>
      <c r="I536" s="89">
        <v>0</v>
      </c>
      <c r="J536" s="89">
        <v>0</v>
      </c>
      <c r="K536" s="89">
        <v>38697655.7508673</v>
      </c>
      <c r="L536" s="89">
        <v>0</v>
      </c>
      <c r="M536" s="89">
        <v>0</v>
      </c>
      <c r="N536" s="89"/>
      <c r="O536" s="89">
        <v>0</v>
      </c>
      <c r="P536" s="89">
        <v>17251614.109685101</v>
      </c>
      <c r="Q536" s="89">
        <v>0</v>
      </c>
      <c r="R536" s="89">
        <v>17251614.109685101</v>
      </c>
      <c r="S536" s="89">
        <v>21446041.6411823</v>
      </c>
      <c r="T536"/>
      <c r="U536" t="s">
        <v>155</v>
      </c>
      <c r="V536" t="s">
        <v>129</v>
      </c>
      <c r="W536" t="s">
        <v>215</v>
      </c>
      <c r="Y536" t="s">
        <v>573</v>
      </c>
      <c r="Z536" t="s">
        <v>131</v>
      </c>
      <c r="AA536" s="90">
        <v>94105</v>
      </c>
      <c r="AB536" t="s">
        <v>550</v>
      </c>
      <c r="AC536" t="s">
        <v>259</v>
      </c>
      <c r="AD536" t="s">
        <v>260</v>
      </c>
    </row>
    <row r="537" spans="2:30" x14ac:dyDescent="0.25">
      <c r="B537">
        <v>101298</v>
      </c>
      <c r="C537" t="s">
        <v>1094</v>
      </c>
      <c r="D537">
        <v>2016</v>
      </c>
      <c r="F537" s="89">
        <v>215326.428086</v>
      </c>
      <c r="G537" s="89" t="s">
        <v>128</v>
      </c>
      <c r="H537" s="89"/>
      <c r="I537" s="89">
        <v>3694.4280859999999</v>
      </c>
      <c r="J537" s="89">
        <v>211632</v>
      </c>
      <c r="K537" s="89">
        <v>0</v>
      </c>
      <c r="L537" s="89">
        <v>0</v>
      </c>
      <c r="M537" s="89">
        <v>0</v>
      </c>
      <c r="N537" s="89"/>
      <c r="O537" s="89">
        <v>0</v>
      </c>
      <c r="P537" s="89">
        <v>0</v>
      </c>
      <c r="Q537" s="89">
        <v>0</v>
      </c>
      <c r="R537" s="89">
        <v>0</v>
      </c>
      <c r="S537" s="89">
        <v>215326.428086</v>
      </c>
      <c r="T537"/>
      <c r="U537" t="s">
        <v>155</v>
      </c>
      <c r="V537" t="s">
        <v>129</v>
      </c>
      <c r="W537" t="s">
        <v>156</v>
      </c>
      <c r="Y537" t="s">
        <v>1095</v>
      </c>
      <c r="Z537" t="s">
        <v>131</v>
      </c>
      <c r="AA537" s="90">
        <v>95327</v>
      </c>
      <c r="AB537" t="s">
        <v>241</v>
      </c>
      <c r="AC537" t="s">
        <v>0</v>
      </c>
      <c r="AD537" t="s">
        <v>140</v>
      </c>
    </row>
    <row r="538" spans="2:30" x14ac:dyDescent="0.25">
      <c r="B538">
        <v>3003</v>
      </c>
      <c r="C538" t="s">
        <v>1096</v>
      </c>
      <c r="D538">
        <v>2016</v>
      </c>
      <c r="F538" s="89">
        <v>955431.40269487805</v>
      </c>
      <c r="G538" s="89" t="s">
        <v>128</v>
      </c>
      <c r="H538" s="89"/>
      <c r="I538" s="89">
        <v>0</v>
      </c>
      <c r="J538" s="89">
        <v>0</v>
      </c>
      <c r="K538" s="89">
        <v>0</v>
      </c>
      <c r="L538" s="89">
        <v>0</v>
      </c>
      <c r="M538" s="89">
        <v>955431.40269487805</v>
      </c>
      <c r="N538" s="89"/>
      <c r="O538" s="89">
        <v>0</v>
      </c>
      <c r="P538" s="89">
        <v>0</v>
      </c>
      <c r="Q538" s="89">
        <v>955431.40269487805</v>
      </c>
      <c r="R538" s="89">
        <v>955431.40269487805</v>
      </c>
      <c r="S538" s="89">
        <v>0</v>
      </c>
      <c r="T538"/>
      <c r="U538" t="s">
        <v>155</v>
      </c>
      <c r="V538" t="s">
        <v>129</v>
      </c>
      <c r="W538" t="s">
        <v>277</v>
      </c>
      <c r="Y538" t="s">
        <v>300</v>
      </c>
      <c r="Z538" t="s">
        <v>301</v>
      </c>
      <c r="AA538" s="90">
        <v>97232</v>
      </c>
      <c r="AB538" t="s">
        <v>158</v>
      </c>
      <c r="AC538" t="s">
        <v>136</v>
      </c>
      <c r="AD538" t="s">
        <v>137</v>
      </c>
    </row>
    <row r="539" spans="2:30" x14ac:dyDescent="0.25">
      <c r="B539">
        <v>104669</v>
      </c>
      <c r="C539" t="s">
        <v>1097</v>
      </c>
      <c r="D539">
        <v>2016</v>
      </c>
      <c r="F539" s="89">
        <v>11963.3681744</v>
      </c>
      <c r="G539" s="89" t="s">
        <v>128</v>
      </c>
      <c r="H539" s="89"/>
      <c r="I539" s="89">
        <v>11963.3681744</v>
      </c>
      <c r="J539" s="89">
        <v>0</v>
      </c>
      <c r="K539" s="89">
        <v>0</v>
      </c>
      <c r="L539" s="89">
        <v>0</v>
      </c>
      <c r="M539" s="89">
        <v>0</v>
      </c>
      <c r="N539" s="89"/>
      <c r="O539" s="89">
        <v>0</v>
      </c>
      <c r="P539" s="89">
        <v>0</v>
      </c>
      <c r="Q539" s="89">
        <v>0</v>
      </c>
      <c r="R539" s="89">
        <v>0</v>
      </c>
      <c r="S539" s="89">
        <v>11963.3681744</v>
      </c>
      <c r="T539"/>
      <c r="U539" t="s">
        <v>129</v>
      </c>
      <c r="V539" t="s">
        <v>129</v>
      </c>
      <c r="Y539" t="s">
        <v>419</v>
      </c>
      <c r="Z539" t="s">
        <v>131</v>
      </c>
      <c r="AA539" s="90">
        <v>96080</v>
      </c>
      <c r="AB539" t="s">
        <v>1098</v>
      </c>
      <c r="AC539" t="s">
        <v>0</v>
      </c>
      <c r="AD539" t="s">
        <v>143</v>
      </c>
    </row>
    <row r="540" spans="2:30" x14ac:dyDescent="0.25">
      <c r="B540">
        <v>104738</v>
      </c>
      <c r="C540" t="s">
        <v>1525</v>
      </c>
      <c r="D540">
        <v>2016</v>
      </c>
      <c r="F540" s="89">
        <v>10143.014496</v>
      </c>
      <c r="G540" s="89" t="s">
        <v>128</v>
      </c>
      <c r="H540" s="89"/>
      <c r="I540" s="89">
        <v>10143.014496</v>
      </c>
      <c r="J540" s="89">
        <v>0</v>
      </c>
      <c r="K540" s="89">
        <v>0</v>
      </c>
      <c r="L540" s="89">
        <v>0</v>
      </c>
      <c r="M540" s="89">
        <v>0</v>
      </c>
      <c r="N540" s="89"/>
      <c r="O540" s="89">
        <v>0</v>
      </c>
      <c r="P540" s="89">
        <v>0</v>
      </c>
      <c r="Q540" s="89">
        <v>0</v>
      </c>
      <c r="R540" s="89">
        <v>0</v>
      </c>
      <c r="S540" s="89">
        <v>10143.014496</v>
      </c>
      <c r="T540"/>
      <c r="U540" t="s">
        <v>129</v>
      </c>
      <c r="V540" t="s">
        <v>129</v>
      </c>
      <c r="Y540" t="s">
        <v>548</v>
      </c>
      <c r="Z540" t="s">
        <v>131</v>
      </c>
      <c r="AA540" s="90">
        <v>94304</v>
      </c>
      <c r="AB540" t="s">
        <v>500</v>
      </c>
      <c r="AC540" t="s">
        <v>0</v>
      </c>
      <c r="AD540" t="s">
        <v>143</v>
      </c>
    </row>
    <row r="541" spans="2:30" x14ac:dyDescent="0.25">
      <c r="B541">
        <v>101740</v>
      </c>
      <c r="C541" t="s">
        <v>1099</v>
      </c>
      <c r="D541">
        <v>2016</v>
      </c>
      <c r="F541" s="89">
        <v>189370.77512400001</v>
      </c>
      <c r="G541" s="89" t="s">
        <v>128</v>
      </c>
      <c r="H541" s="89"/>
      <c r="I541" s="89">
        <v>189370.77512400001</v>
      </c>
      <c r="J541" s="89">
        <v>0</v>
      </c>
      <c r="K541" s="89">
        <v>0</v>
      </c>
      <c r="L541" s="89">
        <v>0</v>
      </c>
      <c r="M541" s="89">
        <v>0</v>
      </c>
      <c r="N541" s="89"/>
      <c r="O541" s="89">
        <v>189370.77512400001</v>
      </c>
      <c r="P541" s="89">
        <v>0</v>
      </c>
      <c r="Q541" s="89">
        <v>0</v>
      </c>
      <c r="R541" s="89">
        <v>189370.77512400001</v>
      </c>
      <c r="S541" s="89">
        <v>0</v>
      </c>
      <c r="T541"/>
      <c r="U541" t="s">
        <v>155</v>
      </c>
      <c r="V541" t="s">
        <v>129</v>
      </c>
      <c r="W541" t="s">
        <v>1076</v>
      </c>
      <c r="Y541" t="s">
        <v>446</v>
      </c>
      <c r="Z541" t="s">
        <v>131</v>
      </c>
      <c r="AA541" s="90">
        <v>93622</v>
      </c>
      <c r="AB541" t="s">
        <v>132</v>
      </c>
      <c r="AC541" t="s">
        <v>1</v>
      </c>
      <c r="AD541" t="s">
        <v>140</v>
      </c>
    </row>
    <row r="542" spans="2:30" x14ac:dyDescent="0.25">
      <c r="B542">
        <v>101056</v>
      </c>
      <c r="C542" t="s">
        <v>1100</v>
      </c>
      <c r="D542">
        <v>2016</v>
      </c>
      <c r="F542" s="89">
        <v>36703.160026809899</v>
      </c>
      <c r="G542" s="89" t="s">
        <v>128</v>
      </c>
      <c r="H542" s="89"/>
      <c r="I542" s="89">
        <v>13364.070026809901</v>
      </c>
      <c r="J542" s="89">
        <v>23339.09</v>
      </c>
      <c r="K542" s="89">
        <v>0</v>
      </c>
      <c r="L542" s="89">
        <v>0</v>
      </c>
      <c r="M542" s="89">
        <v>0</v>
      </c>
      <c r="N542" s="89"/>
      <c r="O542" s="89">
        <v>13364.070026809901</v>
      </c>
      <c r="P542" s="89">
        <v>0</v>
      </c>
      <c r="Q542" s="89">
        <v>0</v>
      </c>
      <c r="R542" s="89">
        <v>13364.070026809901</v>
      </c>
      <c r="S542" s="89">
        <v>23339.09</v>
      </c>
      <c r="T542"/>
      <c r="U542" t="s">
        <v>155</v>
      </c>
      <c r="V542" t="s">
        <v>129</v>
      </c>
      <c r="W542" t="s">
        <v>197</v>
      </c>
      <c r="Y542" t="s">
        <v>496</v>
      </c>
      <c r="Z542" t="s">
        <v>131</v>
      </c>
      <c r="AA542" s="90">
        <v>90723</v>
      </c>
      <c r="AB542" t="s">
        <v>195</v>
      </c>
      <c r="AC542" t="s">
        <v>0</v>
      </c>
      <c r="AD542" t="s">
        <v>230</v>
      </c>
    </row>
    <row r="543" spans="2:30" x14ac:dyDescent="0.25">
      <c r="B543">
        <v>104500</v>
      </c>
      <c r="C543" t="s">
        <v>1101</v>
      </c>
      <c r="D543">
        <v>2016</v>
      </c>
      <c r="F543" s="89">
        <v>48235.668096000001</v>
      </c>
      <c r="G543" s="89" t="s">
        <v>128</v>
      </c>
      <c r="H543" s="89"/>
      <c r="I543" s="89">
        <v>0</v>
      </c>
      <c r="J543" s="89">
        <v>0</v>
      </c>
      <c r="K543" s="89">
        <v>1229.172896</v>
      </c>
      <c r="L543" s="89">
        <v>47006.495199999998</v>
      </c>
      <c r="M543" s="89">
        <v>0</v>
      </c>
      <c r="N543" s="89"/>
      <c r="O543" s="89">
        <v>0</v>
      </c>
      <c r="P543" s="89">
        <v>1229.172896</v>
      </c>
      <c r="Q543" s="89">
        <v>0</v>
      </c>
      <c r="R543" s="89">
        <v>1229.172896</v>
      </c>
      <c r="S543" s="89">
        <v>47006.495199999998</v>
      </c>
      <c r="T543"/>
      <c r="U543" t="s">
        <v>155</v>
      </c>
      <c r="V543" t="s">
        <v>129</v>
      </c>
      <c r="W543" t="s">
        <v>197</v>
      </c>
      <c r="Y543" t="s">
        <v>496</v>
      </c>
      <c r="Z543" t="s">
        <v>131</v>
      </c>
      <c r="AA543" s="90">
        <v>90723</v>
      </c>
      <c r="AB543" t="s">
        <v>195</v>
      </c>
      <c r="AC543" t="s">
        <v>147</v>
      </c>
      <c r="AD543" t="s">
        <v>148</v>
      </c>
    </row>
    <row r="544" spans="2:30" x14ac:dyDescent="0.25">
      <c r="B544">
        <v>3049</v>
      </c>
      <c r="C544" t="s">
        <v>1102</v>
      </c>
      <c r="D544">
        <v>2016</v>
      </c>
      <c r="F544" s="89">
        <v>426016.63574329799</v>
      </c>
      <c r="G544" s="89" t="s">
        <v>128</v>
      </c>
      <c r="H544" s="89"/>
      <c r="I544" s="89">
        <v>0</v>
      </c>
      <c r="J544" s="89">
        <v>0</v>
      </c>
      <c r="K544" s="89">
        <v>0</v>
      </c>
      <c r="L544" s="89">
        <v>0</v>
      </c>
      <c r="M544" s="89">
        <v>426016.63574329799</v>
      </c>
      <c r="N544" s="89"/>
      <c r="O544" s="89">
        <v>0</v>
      </c>
      <c r="P544" s="89">
        <v>0</v>
      </c>
      <c r="Q544" s="89">
        <v>426016.63574329799</v>
      </c>
      <c r="R544" s="89">
        <v>426016.63574329799</v>
      </c>
      <c r="S544" s="89">
        <v>0</v>
      </c>
      <c r="T544"/>
      <c r="U544" t="s">
        <v>155</v>
      </c>
      <c r="V544" t="s">
        <v>129</v>
      </c>
      <c r="W544" t="s">
        <v>168</v>
      </c>
      <c r="Y544" t="s">
        <v>405</v>
      </c>
      <c r="Z544" t="s">
        <v>131</v>
      </c>
      <c r="AA544" s="90">
        <v>91101</v>
      </c>
      <c r="AB544" t="s">
        <v>158</v>
      </c>
      <c r="AC544" t="s">
        <v>136</v>
      </c>
      <c r="AD544" t="s">
        <v>137</v>
      </c>
    </row>
    <row r="545" spans="2:30" x14ac:dyDescent="0.25">
      <c r="B545">
        <v>100179</v>
      </c>
      <c r="C545" t="s">
        <v>1103</v>
      </c>
      <c r="D545">
        <v>2016</v>
      </c>
      <c r="F545" s="89">
        <v>56119.973255798897</v>
      </c>
      <c r="G545" s="89" t="s">
        <v>128</v>
      </c>
      <c r="H545" s="89"/>
      <c r="I545" s="89">
        <v>56119.973255798897</v>
      </c>
      <c r="J545" s="89">
        <v>0</v>
      </c>
      <c r="K545" s="89">
        <v>0</v>
      </c>
      <c r="L545" s="89">
        <v>0</v>
      </c>
      <c r="M545" s="89">
        <v>0</v>
      </c>
      <c r="N545" s="89"/>
      <c r="O545" s="89">
        <v>56119.973255798897</v>
      </c>
      <c r="P545" s="89">
        <v>0</v>
      </c>
      <c r="Q545" s="89">
        <v>0</v>
      </c>
      <c r="R545" s="89">
        <v>56119.973255798897</v>
      </c>
      <c r="S545" s="89">
        <v>0</v>
      </c>
      <c r="T545"/>
      <c r="U545" t="s">
        <v>155</v>
      </c>
      <c r="V545" t="s">
        <v>129</v>
      </c>
      <c r="W545" t="s">
        <v>168</v>
      </c>
      <c r="Y545" t="s">
        <v>405</v>
      </c>
      <c r="Z545" t="s">
        <v>131</v>
      </c>
      <c r="AA545" s="90">
        <v>91105</v>
      </c>
      <c r="AB545" t="s">
        <v>132</v>
      </c>
      <c r="AC545" t="s">
        <v>385</v>
      </c>
      <c r="AD545" t="s">
        <v>140</v>
      </c>
    </row>
    <row r="546" spans="2:30" x14ac:dyDescent="0.25">
      <c r="B546">
        <v>104574</v>
      </c>
      <c r="C546" t="s">
        <v>1104</v>
      </c>
      <c r="D546">
        <v>2016</v>
      </c>
      <c r="F546" s="89">
        <v>365.83728000000002</v>
      </c>
      <c r="G546" s="89" t="s">
        <v>128</v>
      </c>
      <c r="H546" s="89"/>
      <c r="I546" s="89">
        <v>0</v>
      </c>
      <c r="J546" s="89">
        <v>0</v>
      </c>
      <c r="K546" s="89">
        <v>0</v>
      </c>
      <c r="L546" s="89">
        <v>0</v>
      </c>
      <c r="M546" s="89">
        <v>365.83728000000002</v>
      </c>
      <c r="N546" s="89"/>
      <c r="O546" s="89">
        <v>0</v>
      </c>
      <c r="P546" s="89">
        <v>0</v>
      </c>
      <c r="Q546" s="89">
        <v>365.83728000000002</v>
      </c>
      <c r="R546" s="89">
        <v>365.83728000000002</v>
      </c>
      <c r="S546" s="89">
        <v>0</v>
      </c>
      <c r="T546"/>
      <c r="U546" t="s">
        <v>155</v>
      </c>
      <c r="V546" t="s">
        <v>129</v>
      </c>
      <c r="W546" t="s">
        <v>156</v>
      </c>
      <c r="Y546" t="s">
        <v>1105</v>
      </c>
      <c r="Z546" t="s">
        <v>1008</v>
      </c>
      <c r="AA546" s="90">
        <v>89408</v>
      </c>
      <c r="AB546" t="s">
        <v>139</v>
      </c>
      <c r="AC546" t="s">
        <v>136</v>
      </c>
      <c r="AD546" t="s">
        <v>137</v>
      </c>
    </row>
    <row r="547" spans="2:30" x14ac:dyDescent="0.25">
      <c r="B547">
        <v>101240</v>
      </c>
      <c r="C547" t="s">
        <v>1106</v>
      </c>
      <c r="D547">
        <v>2016</v>
      </c>
      <c r="F547" s="89">
        <v>122754.708819808</v>
      </c>
      <c r="G547" s="89" t="s">
        <v>128</v>
      </c>
      <c r="H547" s="89"/>
      <c r="I547" s="89">
        <v>122754.708819808</v>
      </c>
      <c r="J547" s="89">
        <v>0</v>
      </c>
      <c r="K547" s="89">
        <v>0</v>
      </c>
      <c r="L547" s="89">
        <v>0</v>
      </c>
      <c r="M547" s="89">
        <v>0</v>
      </c>
      <c r="N547" s="89"/>
      <c r="O547" s="89">
        <v>122754.708819808</v>
      </c>
      <c r="P547" s="89">
        <v>0</v>
      </c>
      <c r="Q547" s="89">
        <v>0</v>
      </c>
      <c r="R547" s="89">
        <v>122754.708819808</v>
      </c>
      <c r="S547" s="89">
        <v>0</v>
      </c>
      <c r="T547"/>
      <c r="U547" t="s">
        <v>155</v>
      </c>
      <c r="V547" t="s">
        <v>129</v>
      </c>
      <c r="W547" t="s">
        <v>277</v>
      </c>
      <c r="Y547" t="s">
        <v>322</v>
      </c>
      <c r="Z547" t="s">
        <v>131</v>
      </c>
      <c r="AA547" s="90">
        <v>94720</v>
      </c>
      <c r="AB547" t="s">
        <v>139</v>
      </c>
      <c r="AC547" t="s">
        <v>0</v>
      </c>
      <c r="AD547" t="s">
        <v>133</v>
      </c>
    </row>
    <row r="548" spans="2:30" x14ac:dyDescent="0.25">
      <c r="B548">
        <v>104698</v>
      </c>
      <c r="C548" t="s">
        <v>1107</v>
      </c>
      <c r="D548">
        <v>2016</v>
      </c>
      <c r="F548" s="89">
        <v>0</v>
      </c>
      <c r="G548" s="89" t="s">
        <v>128</v>
      </c>
      <c r="H548" s="89"/>
      <c r="I548" s="89">
        <v>0</v>
      </c>
      <c r="J548" s="89">
        <v>0</v>
      </c>
      <c r="K548" s="89">
        <v>0</v>
      </c>
      <c r="L548" s="89">
        <v>0</v>
      </c>
      <c r="M548" s="89">
        <v>0</v>
      </c>
      <c r="N548" s="89"/>
      <c r="O548" s="89">
        <v>0</v>
      </c>
      <c r="P548" s="89">
        <v>0</v>
      </c>
      <c r="Q548" s="89">
        <v>0</v>
      </c>
      <c r="R548" s="89">
        <v>0</v>
      </c>
      <c r="S548" s="89">
        <v>0</v>
      </c>
      <c r="T548"/>
      <c r="U548" t="s">
        <v>129</v>
      </c>
      <c r="V548" t="s">
        <v>129</v>
      </c>
      <c r="Y548" t="s">
        <v>1108</v>
      </c>
      <c r="Z548" t="s">
        <v>131</v>
      </c>
      <c r="AA548" s="90">
        <v>94063</v>
      </c>
      <c r="AB548" t="s">
        <v>158</v>
      </c>
      <c r="AC548" t="s">
        <v>136</v>
      </c>
      <c r="AD548" t="s">
        <v>137</v>
      </c>
    </row>
    <row r="549" spans="2:30" x14ac:dyDescent="0.25">
      <c r="B549">
        <v>104089</v>
      </c>
      <c r="C549" t="s">
        <v>1109</v>
      </c>
      <c r="D549">
        <v>2016</v>
      </c>
      <c r="F549" s="89">
        <v>2438182.2170350002</v>
      </c>
      <c r="G549" s="89" t="s">
        <v>128</v>
      </c>
      <c r="H549" s="89"/>
      <c r="I549" s="89">
        <v>0</v>
      </c>
      <c r="J549" s="89">
        <v>0</v>
      </c>
      <c r="K549" s="89">
        <v>2289427.8691349998</v>
      </c>
      <c r="L549" s="89">
        <v>148754.34789999999</v>
      </c>
      <c r="M549" s="89">
        <v>0</v>
      </c>
      <c r="N549" s="89"/>
      <c r="O549" s="89">
        <v>0</v>
      </c>
      <c r="P549" s="89">
        <v>2289427.8691349998</v>
      </c>
      <c r="Q549" s="89">
        <v>0</v>
      </c>
      <c r="R549" s="89">
        <v>2289427.8691349998</v>
      </c>
      <c r="S549" s="89">
        <v>148754.34789999999</v>
      </c>
      <c r="T549"/>
      <c r="U549" t="s">
        <v>155</v>
      </c>
      <c r="V549" t="s">
        <v>129</v>
      </c>
      <c r="W549" t="s">
        <v>197</v>
      </c>
      <c r="Y549" t="s">
        <v>220</v>
      </c>
      <c r="Z549" t="s">
        <v>131</v>
      </c>
      <c r="AA549" s="90">
        <v>92614</v>
      </c>
      <c r="AB549" t="s">
        <v>146</v>
      </c>
      <c r="AC549" t="s">
        <v>147</v>
      </c>
      <c r="AD549" t="s">
        <v>148</v>
      </c>
    </row>
    <row r="550" spans="2:30" x14ac:dyDescent="0.25">
      <c r="B550">
        <v>104022</v>
      </c>
      <c r="C550" t="s">
        <v>1110</v>
      </c>
      <c r="D550">
        <v>2016</v>
      </c>
      <c r="F550" s="89">
        <v>46604.100856455902</v>
      </c>
      <c r="G550" s="89" t="s">
        <v>128</v>
      </c>
      <c r="H550" s="89"/>
      <c r="I550" s="89">
        <v>46604.100856455902</v>
      </c>
      <c r="J550" s="89">
        <v>0</v>
      </c>
      <c r="K550" s="89">
        <v>0</v>
      </c>
      <c r="L550" s="89">
        <v>0</v>
      </c>
      <c r="M550" s="89">
        <v>0</v>
      </c>
      <c r="N550" s="89"/>
      <c r="O550" s="89">
        <v>45540.874050414102</v>
      </c>
      <c r="P550" s="89">
        <v>0</v>
      </c>
      <c r="Q550" s="89">
        <v>0</v>
      </c>
      <c r="R550" s="89">
        <v>45540.874050414102</v>
      </c>
      <c r="S550" s="89">
        <v>1063.2268060418</v>
      </c>
      <c r="T550"/>
      <c r="U550" t="s">
        <v>155</v>
      </c>
      <c r="V550" t="s">
        <v>129</v>
      </c>
      <c r="W550" t="s">
        <v>215</v>
      </c>
      <c r="Y550" t="s">
        <v>383</v>
      </c>
      <c r="Z550" t="s">
        <v>131</v>
      </c>
      <c r="AA550" s="90">
        <v>96013</v>
      </c>
      <c r="AB550" t="s">
        <v>550</v>
      </c>
      <c r="AC550" t="s">
        <v>175</v>
      </c>
      <c r="AD550" t="s">
        <v>176</v>
      </c>
    </row>
    <row r="551" spans="2:30" x14ac:dyDescent="0.25">
      <c r="B551">
        <v>101758</v>
      </c>
      <c r="C551" t="s">
        <v>1111</v>
      </c>
      <c r="D551">
        <v>2016</v>
      </c>
      <c r="F551" s="89">
        <v>1125772.3228955399</v>
      </c>
      <c r="G551" s="89" t="s">
        <v>128</v>
      </c>
      <c r="H551" s="89"/>
      <c r="I551" s="89">
        <v>1125772.3228955399</v>
      </c>
      <c r="J551" s="89">
        <v>0</v>
      </c>
      <c r="K551" s="89">
        <v>0</v>
      </c>
      <c r="L551" s="89">
        <v>0</v>
      </c>
      <c r="M551" s="89">
        <v>0</v>
      </c>
      <c r="N551" s="89"/>
      <c r="O551" s="89">
        <v>1125772.3228955399</v>
      </c>
      <c r="P551" s="89">
        <v>0</v>
      </c>
      <c r="Q551" s="89">
        <v>0</v>
      </c>
      <c r="R551" s="89">
        <v>1125772.3228955399</v>
      </c>
      <c r="S551" s="89">
        <v>0</v>
      </c>
      <c r="T551"/>
      <c r="U551" t="s">
        <v>155</v>
      </c>
      <c r="V551" t="s">
        <v>129</v>
      </c>
      <c r="W551" t="s">
        <v>215</v>
      </c>
      <c r="Y551" t="s">
        <v>1112</v>
      </c>
      <c r="Z551" t="s">
        <v>131</v>
      </c>
      <c r="AA551" s="90">
        <v>95955</v>
      </c>
      <c r="AB551" t="s">
        <v>132</v>
      </c>
      <c r="AC551" t="s">
        <v>385</v>
      </c>
      <c r="AD551" t="s">
        <v>140</v>
      </c>
    </row>
    <row r="552" spans="2:30" x14ac:dyDescent="0.25">
      <c r="B552">
        <v>101562</v>
      </c>
      <c r="C552" t="s">
        <v>1113</v>
      </c>
      <c r="D552">
        <v>2016</v>
      </c>
      <c r="F552" s="89">
        <v>26159.071658144101</v>
      </c>
      <c r="G552" s="89" t="s">
        <v>128</v>
      </c>
      <c r="H552" s="89"/>
      <c r="I552" s="89">
        <v>26159.071658144101</v>
      </c>
      <c r="J552" s="89">
        <v>0</v>
      </c>
      <c r="K552" s="89">
        <v>0</v>
      </c>
      <c r="L552" s="89">
        <v>0</v>
      </c>
      <c r="M552" s="89">
        <v>0</v>
      </c>
      <c r="N552" s="89"/>
      <c r="O552" s="89">
        <v>21575.7162138651</v>
      </c>
      <c r="P552" s="89">
        <v>0</v>
      </c>
      <c r="Q552" s="89">
        <v>0</v>
      </c>
      <c r="R552" s="89">
        <v>21575.7162138651</v>
      </c>
      <c r="S552" s="89">
        <v>4583.3554442790501</v>
      </c>
      <c r="T552"/>
      <c r="U552" t="s">
        <v>155</v>
      </c>
      <c r="V552" t="s">
        <v>129</v>
      </c>
      <c r="W552" t="s">
        <v>215</v>
      </c>
      <c r="Y552" t="s">
        <v>812</v>
      </c>
      <c r="Z552" t="s">
        <v>131</v>
      </c>
      <c r="AA552" s="90">
        <v>95979</v>
      </c>
      <c r="AB552" t="s">
        <v>550</v>
      </c>
      <c r="AC552" t="s">
        <v>175</v>
      </c>
      <c r="AD552" t="s">
        <v>176</v>
      </c>
    </row>
    <row r="553" spans="2:30" x14ac:dyDescent="0.25">
      <c r="B553">
        <v>101741</v>
      </c>
      <c r="C553" t="s">
        <v>1114</v>
      </c>
      <c r="D553">
        <v>2016</v>
      </c>
      <c r="F553" s="89">
        <v>963412.39914658805</v>
      </c>
      <c r="G553" s="89" t="s">
        <v>128</v>
      </c>
      <c r="H553" s="89"/>
      <c r="I553" s="89">
        <v>963412.39914658805</v>
      </c>
      <c r="J553" s="89">
        <v>0</v>
      </c>
      <c r="K553" s="89">
        <v>0</v>
      </c>
      <c r="L553" s="89">
        <v>0</v>
      </c>
      <c r="M553" s="89">
        <v>0</v>
      </c>
      <c r="N553" s="89"/>
      <c r="O553" s="89">
        <v>963412.39914658805</v>
      </c>
      <c r="P553" s="89">
        <v>0</v>
      </c>
      <c r="Q553" s="89">
        <v>0</v>
      </c>
      <c r="R553" s="89">
        <v>963412.39914658805</v>
      </c>
      <c r="S553" s="89">
        <v>0</v>
      </c>
      <c r="T553"/>
      <c r="U553" t="s">
        <v>155</v>
      </c>
      <c r="V553" t="s">
        <v>129</v>
      </c>
      <c r="W553" t="s">
        <v>215</v>
      </c>
      <c r="Y553" t="s">
        <v>460</v>
      </c>
      <c r="Z553" t="s">
        <v>131</v>
      </c>
      <c r="AA553" s="90">
        <v>94509</v>
      </c>
      <c r="AB553" t="s">
        <v>132</v>
      </c>
      <c r="AC553" t="s">
        <v>385</v>
      </c>
      <c r="AD553" t="s">
        <v>140</v>
      </c>
    </row>
    <row r="554" spans="2:30" x14ac:dyDescent="0.25">
      <c r="B554">
        <v>101747</v>
      </c>
      <c r="C554" t="s">
        <v>1115</v>
      </c>
      <c r="D554">
        <v>2016</v>
      </c>
      <c r="F554" s="89">
        <v>56699.217668419398</v>
      </c>
      <c r="G554" s="89" t="s">
        <v>128</v>
      </c>
      <c r="H554" s="89"/>
      <c r="I554" s="89">
        <v>56699.217668419398</v>
      </c>
      <c r="J554" s="89">
        <v>0</v>
      </c>
      <c r="K554" s="89">
        <v>0</v>
      </c>
      <c r="L554" s="89">
        <v>0</v>
      </c>
      <c r="M554" s="89">
        <v>0</v>
      </c>
      <c r="N554" s="89"/>
      <c r="O554" s="89">
        <v>54635.139629592799</v>
      </c>
      <c r="P554" s="89">
        <v>0</v>
      </c>
      <c r="Q554" s="89">
        <v>0</v>
      </c>
      <c r="R554" s="89">
        <v>54635.139629592799</v>
      </c>
      <c r="S554" s="89">
        <v>2064.0780388265598</v>
      </c>
      <c r="T554"/>
      <c r="U554" t="s">
        <v>155</v>
      </c>
      <c r="V554" t="s">
        <v>129</v>
      </c>
      <c r="W554" t="s">
        <v>215</v>
      </c>
      <c r="Y554" t="s">
        <v>1116</v>
      </c>
      <c r="Z554" t="s">
        <v>131</v>
      </c>
      <c r="AA554" s="90">
        <v>96035</v>
      </c>
      <c r="AB554" t="s">
        <v>550</v>
      </c>
      <c r="AC554" t="s">
        <v>175</v>
      </c>
      <c r="AD554" t="s">
        <v>176</v>
      </c>
    </row>
    <row r="555" spans="2:30" x14ac:dyDescent="0.25">
      <c r="B555">
        <v>101290</v>
      </c>
      <c r="C555" t="s">
        <v>1117</v>
      </c>
      <c r="D555">
        <v>2016</v>
      </c>
      <c r="F555" s="89">
        <v>49340.987051634896</v>
      </c>
      <c r="G555" s="89" t="s">
        <v>128</v>
      </c>
      <c r="H555" s="89"/>
      <c r="I555" s="89">
        <v>49340.987051634896</v>
      </c>
      <c r="J555" s="89">
        <v>0</v>
      </c>
      <c r="K555" s="89">
        <v>0</v>
      </c>
      <c r="L555" s="89">
        <v>0</v>
      </c>
      <c r="M555" s="89">
        <v>0</v>
      </c>
      <c r="N555" s="89"/>
      <c r="O555" s="89">
        <v>40433.317461233601</v>
      </c>
      <c r="P555" s="89">
        <v>0</v>
      </c>
      <c r="Q555" s="89">
        <v>0</v>
      </c>
      <c r="R555" s="89">
        <v>40433.317461233601</v>
      </c>
      <c r="S555" s="89">
        <v>8907.6695904013504</v>
      </c>
      <c r="T555"/>
      <c r="U555" t="s">
        <v>155</v>
      </c>
      <c r="V555" t="s">
        <v>129</v>
      </c>
      <c r="W555" t="s">
        <v>215</v>
      </c>
      <c r="Y555" t="s">
        <v>916</v>
      </c>
      <c r="Z555" t="s">
        <v>131</v>
      </c>
      <c r="AA555" s="90">
        <v>92347</v>
      </c>
      <c r="AB555" t="s">
        <v>550</v>
      </c>
      <c r="AC555" t="s">
        <v>175</v>
      </c>
      <c r="AD555" t="s">
        <v>176</v>
      </c>
    </row>
    <row r="556" spans="2:30" x14ac:dyDescent="0.25">
      <c r="B556">
        <v>100192</v>
      </c>
      <c r="C556" t="s">
        <v>1118</v>
      </c>
      <c r="D556">
        <v>2016</v>
      </c>
      <c r="F556" s="89">
        <v>171847.46670761099</v>
      </c>
      <c r="G556" s="89" t="s">
        <v>128</v>
      </c>
      <c r="H556" s="89"/>
      <c r="I556" s="89">
        <v>171847.46670761099</v>
      </c>
      <c r="J556" s="89">
        <v>0</v>
      </c>
      <c r="K556" s="89">
        <v>0</v>
      </c>
      <c r="L556" s="89">
        <v>0</v>
      </c>
      <c r="M556" s="89">
        <v>0</v>
      </c>
      <c r="N556" s="89"/>
      <c r="O556" s="89">
        <v>170745.93672234099</v>
      </c>
      <c r="P556" s="89">
        <v>0</v>
      </c>
      <c r="Q556" s="89">
        <v>0</v>
      </c>
      <c r="R556" s="89">
        <v>170745.93672234099</v>
      </c>
      <c r="S556" s="89">
        <v>1101.5299852698699</v>
      </c>
      <c r="T556"/>
      <c r="U556" t="s">
        <v>155</v>
      </c>
      <c r="V556" t="s">
        <v>129</v>
      </c>
      <c r="W556" t="s">
        <v>215</v>
      </c>
      <c r="Y556" t="s">
        <v>1119</v>
      </c>
      <c r="Z556" t="s">
        <v>131</v>
      </c>
      <c r="AA556" s="90">
        <v>95503</v>
      </c>
      <c r="AB556" t="s">
        <v>132</v>
      </c>
      <c r="AC556" t="s">
        <v>0</v>
      </c>
      <c r="AD556" t="s">
        <v>140</v>
      </c>
    </row>
    <row r="557" spans="2:30" x14ac:dyDescent="0.25">
      <c r="B557">
        <v>101563</v>
      </c>
      <c r="C557" t="s">
        <v>1120</v>
      </c>
      <c r="D557">
        <v>2016</v>
      </c>
      <c r="F557" s="89">
        <v>14057.9441669146</v>
      </c>
      <c r="G557" s="89" t="s">
        <v>128</v>
      </c>
      <c r="H557" s="89"/>
      <c r="I557" s="89">
        <v>14057.9441669146</v>
      </c>
      <c r="J557" s="89">
        <v>0</v>
      </c>
      <c r="K557" s="89">
        <v>0</v>
      </c>
      <c r="L557" s="89">
        <v>0</v>
      </c>
      <c r="M557" s="89">
        <v>0</v>
      </c>
      <c r="N557" s="89"/>
      <c r="O557" s="89">
        <v>12939.270431376401</v>
      </c>
      <c r="P557" s="89">
        <v>0</v>
      </c>
      <c r="Q557" s="89">
        <v>0</v>
      </c>
      <c r="R557" s="89">
        <v>12939.270431376401</v>
      </c>
      <c r="S557" s="89">
        <v>1118.6737355381399</v>
      </c>
      <c r="T557"/>
      <c r="U557" t="s">
        <v>155</v>
      </c>
      <c r="V557" t="s">
        <v>129</v>
      </c>
      <c r="W557" t="s">
        <v>215</v>
      </c>
      <c r="Y557" t="s">
        <v>303</v>
      </c>
      <c r="Z557" t="s">
        <v>131</v>
      </c>
      <c r="AA557" s="90">
        <v>93204</v>
      </c>
      <c r="AB557" t="s">
        <v>550</v>
      </c>
      <c r="AC557" t="s">
        <v>175</v>
      </c>
      <c r="AD557" t="s">
        <v>176</v>
      </c>
    </row>
    <row r="558" spans="2:30" x14ac:dyDescent="0.25">
      <c r="B558">
        <v>104021</v>
      </c>
      <c r="C558" t="s">
        <v>1121</v>
      </c>
      <c r="D558">
        <v>2016</v>
      </c>
      <c r="F558" s="89">
        <v>18956.3103610408</v>
      </c>
      <c r="G558" s="89" t="s">
        <v>128</v>
      </c>
      <c r="H558" s="89"/>
      <c r="I558" s="89">
        <v>18956.3103610408</v>
      </c>
      <c r="J558" s="89">
        <v>0</v>
      </c>
      <c r="K558" s="89">
        <v>0</v>
      </c>
      <c r="L558" s="89">
        <v>0</v>
      </c>
      <c r="M558" s="89">
        <v>0</v>
      </c>
      <c r="N558" s="89"/>
      <c r="O558" s="89">
        <v>0</v>
      </c>
      <c r="P558" s="89">
        <v>0</v>
      </c>
      <c r="Q558" s="89">
        <v>0</v>
      </c>
      <c r="R558" s="89">
        <v>0</v>
      </c>
      <c r="S558" s="89">
        <v>18956.3103610408</v>
      </c>
      <c r="T558"/>
      <c r="U558" t="s">
        <v>155</v>
      </c>
      <c r="V558" t="s">
        <v>129</v>
      </c>
      <c r="W558" t="s">
        <v>215</v>
      </c>
      <c r="Y558" t="s">
        <v>1122</v>
      </c>
      <c r="Z558" t="s">
        <v>131</v>
      </c>
      <c r="AA558" s="90">
        <v>95206</v>
      </c>
      <c r="AB558" t="s">
        <v>550</v>
      </c>
      <c r="AC558" t="s">
        <v>175</v>
      </c>
      <c r="AD558" t="s">
        <v>176</v>
      </c>
    </row>
    <row r="559" spans="2:30" x14ac:dyDescent="0.25">
      <c r="B559">
        <v>104023</v>
      </c>
      <c r="C559" t="s">
        <v>1123</v>
      </c>
      <c r="D559">
        <v>2016</v>
      </c>
      <c r="F559" s="89">
        <v>52433.818737432397</v>
      </c>
      <c r="G559" s="89" t="s">
        <v>128</v>
      </c>
      <c r="H559" s="89"/>
      <c r="I559" s="89">
        <v>52433.818737432397</v>
      </c>
      <c r="J559" s="89">
        <v>0</v>
      </c>
      <c r="K559" s="89">
        <v>0</v>
      </c>
      <c r="L559" s="89">
        <v>0</v>
      </c>
      <c r="M559" s="89">
        <v>0</v>
      </c>
      <c r="N559" s="89"/>
      <c r="O559" s="89">
        <v>51477.257816718396</v>
      </c>
      <c r="P559" s="89">
        <v>0</v>
      </c>
      <c r="Q559" s="89">
        <v>0</v>
      </c>
      <c r="R559" s="89">
        <v>51477.257816718396</v>
      </c>
      <c r="S559" s="89">
        <v>956.56092071399303</v>
      </c>
      <c r="T559"/>
      <c r="U559" t="s">
        <v>155</v>
      </c>
      <c r="V559" t="s">
        <v>129</v>
      </c>
      <c r="W559" t="s">
        <v>215</v>
      </c>
      <c r="Y559" t="s">
        <v>1124</v>
      </c>
      <c r="Z559" t="s">
        <v>131</v>
      </c>
      <c r="AA559" s="90">
        <v>96015</v>
      </c>
      <c r="AB559" t="s">
        <v>550</v>
      </c>
      <c r="AC559" t="s">
        <v>175</v>
      </c>
      <c r="AD559" t="s">
        <v>176</v>
      </c>
    </row>
    <row r="560" spans="2:30" x14ac:dyDescent="0.25">
      <c r="B560">
        <v>101031</v>
      </c>
      <c r="C560" t="s">
        <v>1125</v>
      </c>
      <c r="D560">
        <v>2016</v>
      </c>
      <c r="F560" s="89">
        <v>31599.341364225998</v>
      </c>
      <c r="G560" s="89" t="s">
        <v>128</v>
      </c>
      <c r="H560" s="89"/>
      <c r="I560" s="89">
        <v>31599.341364225998</v>
      </c>
      <c r="J560" s="89">
        <v>0</v>
      </c>
      <c r="K560" s="89">
        <v>0</v>
      </c>
      <c r="L560" s="89">
        <v>0</v>
      </c>
      <c r="M560" s="89">
        <v>0</v>
      </c>
      <c r="N560" s="89"/>
      <c r="O560" s="89">
        <v>26634.418742598002</v>
      </c>
      <c r="P560" s="89">
        <v>0</v>
      </c>
      <c r="Q560" s="89">
        <v>0</v>
      </c>
      <c r="R560" s="89">
        <v>26634.418742598002</v>
      </c>
      <c r="S560" s="89">
        <v>4964.9226216279603</v>
      </c>
      <c r="T560"/>
      <c r="U560" t="s">
        <v>155</v>
      </c>
      <c r="V560" t="s">
        <v>129</v>
      </c>
      <c r="W560" t="s">
        <v>215</v>
      </c>
      <c r="Y560" t="s">
        <v>546</v>
      </c>
      <c r="Z560" t="s">
        <v>131</v>
      </c>
      <c r="AA560" s="90">
        <v>92363</v>
      </c>
      <c r="AB560" t="s">
        <v>550</v>
      </c>
      <c r="AC560" t="s">
        <v>175</v>
      </c>
      <c r="AD560" t="s">
        <v>176</v>
      </c>
    </row>
    <row r="561" spans="2:30" x14ac:dyDescent="0.25">
      <c r="B561">
        <v>104010</v>
      </c>
      <c r="C561" t="s">
        <v>1126</v>
      </c>
      <c r="D561">
        <v>2016</v>
      </c>
      <c r="F561" s="89">
        <v>20212472.270663701</v>
      </c>
      <c r="G561" s="89" t="s">
        <v>128</v>
      </c>
      <c r="H561" s="89"/>
      <c r="I561" s="89">
        <v>0</v>
      </c>
      <c r="J561" s="89">
        <v>0</v>
      </c>
      <c r="K561" s="89">
        <v>18854067.807063699</v>
      </c>
      <c r="L561" s="89">
        <v>1358404.4635999999</v>
      </c>
      <c r="M561" s="89">
        <v>0</v>
      </c>
      <c r="N561" s="89"/>
      <c r="O561" s="89">
        <v>0</v>
      </c>
      <c r="P561" s="89">
        <v>18854067.807063699</v>
      </c>
      <c r="Q561" s="89">
        <v>0</v>
      </c>
      <c r="R561" s="89">
        <v>18854067.807063699</v>
      </c>
      <c r="S561" s="89">
        <v>1358404.4635999999</v>
      </c>
      <c r="T561"/>
      <c r="U561" t="s">
        <v>155</v>
      </c>
      <c r="V561" t="s">
        <v>129</v>
      </c>
      <c r="W561" t="s">
        <v>232</v>
      </c>
      <c r="Y561" t="s">
        <v>359</v>
      </c>
      <c r="Z561" t="s">
        <v>360</v>
      </c>
      <c r="AA561" s="90">
        <v>77042</v>
      </c>
      <c r="AB561" t="s">
        <v>227</v>
      </c>
      <c r="AC561" t="s">
        <v>147</v>
      </c>
      <c r="AD561" t="s">
        <v>148</v>
      </c>
    </row>
    <row r="562" spans="2:30" x14ac:dyDescent="0.25">
      <c r="B562">
        <v>100913</v>
      </c>
      <c r="C562" t="s">
        <v>1127</v>
      </c>
      <c r="D562">
        <v>2016</v>
      </c>
      <c r="F562" s="89">
        <v>969431.86009366997</v>
      </c>
      <c r="G562" s="89" t="s">
        <v>128</v>
      </c>
      <c r="H562" s="89"/>
      <c r="I562" s="89">
        <v>969431.86009366997</v>
      </c>
      <c r="J562" s="89">
        <v>0</v>
      </c>
      <c r="K562" s="89">
        <v>0</v>
      </c>
      <c r="L562" s="89">
        <v>0</v>
      </c>
      <c r="M562" s="89">
        <v>0</v>
      </c>
      <c r="N562" s="89"/>
      <c r="O562" s="89">
        <v>960411.67595916195</v>
      </c>
      <c r="P562" s="89">
        <v>0</v>
      </c>
      <c r="Q562" s="89">
        <v>0</v>
      </c>
      <c r="R562" s="89">
        <v>960411.67595916195</v>
      </c>
      <c r="S562" s="89">
        <v>9020.1841345079993</v>
      </c>
      <c r="T562"/>
      <c r="U562" t="s">
        <v>210</v>
      </c>
      <c r="V562" t="s">
        <v>155</v>
      </c>
      <c r="W562" t="s">
        <v>232</v>
      </c>
      <c r="Y562" t="s">
        <v>207</v>
      </c>
      <c r="Z562" t="s">
        <v>131</v>
      </c>
      <c r="AA562" s="90">
        <v>90745</v>
      </c>
      <c r="AB562" t="s">
        <v>229</v>
      </c>
      <c r="AC562" t="s">
        <v>518</v>
      </c>
      <c r="AD562" t="s">
        <v>519</v>
      </c>
    </row>
    <row r="563" spans="2:30" x14ac:dyDescent="0.25">
      <c r="B563">
        <v>100329</v>
      </c>
      <c r="C563" t="s">
        <v>1128</v>
      </c>
      <c r="D563">
        <v>2016</v>
      </c>
      <c r="F563" s="89">
        <v>1880624.57087762</v>
      </c>
      <c r="G563" s="89" t="s">
        <v>128</v>
      </c>
      <c r="H563" s="89"/>
      <c r="I563" s="89">
        <v>1880624.57087762</v>
      </c>
      <c r="J563" s="89">
        <v>0</v>
      </c>
      <c r="K563" s="89">
        <v>0</v>
      </c>
      <c r="L563" s="89">
        <v>0</v>
      </c>
      <c r="M563" s="89">
        <v>0</v>
      </c>
      <c r="N563" s="89"/>
      <c r="O563" s="89">
        <v>1878866.87032456</v>
      </c>
      <c r="P563" s="89">
        <v>0</v>
      </c>
      <c r="Q563" s="89">
        <v>0</v>
      </c>
      <c r="R563" s="89">
        <v>1878866.87032456</v>
      </c>
      <c r="S563" s="89">
        <v>1757.7005530629999</v>
      </c>
      <c r="T563"/>
      <c r="U563" t="s">
        <v>210</v>
      </c>
      <c r="V563" t="s">
        <v>155</v>
      </c>
      <c r="W563" t="s">
        <v>232</v>
      </c>
      <c r="Y563" t="s">
        <v>211</v>
      </c>
      <c r="Z563" t="s">
        <v>131</v>
      </c>
      <c r="AA563" s="90">
        <v>90744</v>
      </c>
      <c r="AB563" t="s">
        <v>229</v>
      </c>
      <c r="AC563" t="s">
        <v>518</v>
      </c>
      <c r="AD563" t="s">
        <v>519</v>
      </c>
    </row>
    <row r="564" spans="2:30" x14ac:dyDescent="0.25">
      <c r="B564">
        <v>100351</v>
      </c>
      <c r="C564" t="s">
        <v>1129</v>
      </c>
      <c r="D564">
        <v>2016</v>
      </c>
      <c r="F564" s="89">
        <v>158582.61481228299</v>
      </c>
      <c r="G564" s="89" t="s">
        <v>128</v>
      </c>
      <c r="H564" s="89"/>
      <c r="I564" s="89">
        <v>158582.61481228299</v>
      </c>
      <c r="J564" s="89">
        <v>0</v>
      </c>
      <c r="K564" s="89">
        <v>0</v>
      </c>
      <c r="L564" s="89">
        <v>0</v>
      </c>
      <c r="M564" s="89">
        <v>0</v>
      </c>
      <c r="N564" s="89"/>
      <c r="O564" s="89">
        <v>158582.18469691899</v>
      </c>
      <c r="P564" s="89">
        <v>0</v>
      </c>
      <c r="Q564" s="89">
        <v>0</v>
      </c>
      <c r="R564" s="89">
        <v>158582.18469691899</v>
      </c>
      <c r="S564" s="89">
        <v>0.430115364</v>
      </c>
      <c r="T564"/>
      <c r="U564" t="s">
        <v>155</v>
      </c>
      <c r="V564" t="s">
        <v>155</v>
      </c>
      <c r="W564" t="s">
        <v>232</v>
      </c>
      <c r="Y564" t="s">
        <v>202</v>
      </c>
      <c r="Z564" t="s">
        <v>131</v>
      </c>
      <c r="AA564" s="90">
        <v>94572</v>
      </c>
      <c r="AB564" t="s">
        <v>633</v>
      </c>
      <c r="AC564" t="s">
        <v>742</v>
      </c>
      <c r="AD564" t="s">
        <v>143</v>
      </c>
    </row>
    <row r="565" spans="2:30" x14ac:dyDescent="0.25">
      <c r="B565">
        <v>100303</v>
      </c>
      <c r="C565" t="s">
        <v>1130</v>
      </c>
      <c r="D565">
        <v>2016</v>
      </c>
      <c r="F565" s="89">
        <v>1214808.06672235</v>
      </c>
      <c r="G565" s="89" t="s">
        <v>128</v>
      </c>
      <c r="H565" s="89"/>
      <c r="I565" s="89">
        <v>1214808.06672235</v>
      </c>
      <c r="J565" s="89">
        <v>0</v>
      </c>
      <c r="K565" s="89">
        <v>0</v>
      </c>
      <c r="L565" s="89">
        <v>0</v>
      </c>
      <c r="M565" s="89">
        <v>0</v>
      </c>
      <c r="N565" s="89"/>
      <c r="O565" s="89">
        <v>1214257.62464252</v>
      </c>
      <c r="P565" s="89">
        <v>0</v>
      </c>
      <c r="Q565" s="89">
        <v>0</v>
      </c>
      <c r="R565" s="89">
        <v>1214257.62464252</v>
      </c>
      <c r="S565" s="89">
        <v>550.44207982199998</v>
      </c>
      <c r="T565"/>
      <c r="U565" t="s">
        <v>155</v>
      </c>
      <c r="V565" t="s">
        <v>155</v>
      </c>
      <c r="W565" t="s">
        <v>232</v>
      </c>
      <c r="Y565" t="s">
        <v>202</v>
      </c>
      <c r="Z565" t="s">
        <v>131</v>
      </c>
      <c r="AA565" s="90">
        <v>94572</v>
      </c>
      <c r="AB565" t="s">
        <v>229</v>
      </c>
      <c r="AC565" t="s">
        <v>1131</v>
      </c>
      <c r="AD565" t="s">
        <v>1132</v>
      </c>
    </row>
    <row r="566" spans="2:30" x14ac:dyDescent="0.25">
      <c r="B566">
        <v>101226</v>
      </c>
      <c r="C566" t="s">
        <v>1133</v>
      </c>
      <c r="D566">
        <v>2016</v>
      </c>
      <c r="F566" s="89">
        <v>200292.02837063</v>
      </c>
      <c r="G566" s="89" t="s">
        <v>128</v>
      </c>
      <c r="H566" s="89"/>
      <c r="I566" s="89">
        <v>200292.02837063</v>
      </c>
      <c r="J566" s="89">
        <v>0</v>
      </c>
      <c r="K566" s="89">
        <v>0</v>
      </c>
      <c r="L566" s="89">
        <v>0</v>
      </c>
      <c r="M566" s="89">
        <v>0</v>
      </c>
      <c r="N566" s="89"/>
      <c r="O566" s="89">
        <v>200117.30837062999</v>
      </c>
      <c r="P566" s="89">
        <v>0</v>
      </c>
      <c r="Q566" s="89">
        <v>0</v>
      </c>
      <c r="R566" s="89">
        <v>200117.30837062999</v>
      </c>
      <c r="S566" s="89">
        <v>174.72</v>
      </c>
      <c r="T566"/>
      <c r="U566" t="s">
        <v>155</v>
      </c>
      <c r="V566" t="s">
        <v>155</v>
      </c>
      <c r="W566" t="s">
        <v>232</v>
      </c>
      <c r="Y566" t="s">
        <v>1134</v>
      </c>
      <c r="Z566" t="s">
        <v>131</v>
      </c>
      <c r="AA566" s="90">
        <v>93420</v>
      </c>
      <c r="AB566" t="s">
        <v>229</v>
      </c>
      <c r="AC566" t="s">
        <v>742</v>
      </c>
      <c r="AD566" t="s">
        <v>230</v>
      </c>
    </row>
    <row r="567" spans="2:30" x14ac:dyDescent="0.25">
      <c r="B567">
        <v>101692</v>
      </c>
      <c r="C567" t="s">
        <v>1135</v>
      </c>
      <c r="D567">
        <v>2016</v>
      </c>
      <c r="F567" s="89">
        <v>0</v>
      </c>
      <c r="G567" s="89" t="s">
        <v>128</v>
      </c>
      <c r="H567" s="89"/>
      <c r="I567" s="89">
        <v>0</v>
      </c>
      <c r="J567" s="89">
        <v>0</v>
      </c>
      <c r="K567" s="89">
        <v>0</v>
      </c>
      <c r="L567" s="89">
        <v>0</v>
      </c>
      <c r="M567" s="89">
        <v>0</v>
      </c>
      <c r="N567" s="89"/>
      <c r="O567" s="89">
        <v>0</v>
      </c>
      <c r="P567" s="89">
        <v>0</v>
      </c>
      <c r="Q567" s="89">
        <v>0</v>
      </c>
      <c r="R567" s="89">
        <v>0</v>
      </c>
      <c r="S567" s="89">
        <v>0</v>
      </c>
      <c r="T567"/>
      <c r="U567" t="s">
        <v>129</v>
      </c>
      <c r="V567" t="s">
        <v>129</v>
      </c>
      <c r="Y567" t="s">
        <v>410</v>
      </c>
      <c r="Z567" t="s">
        <v>131</v>
      </c>
      <c r="AA567" s="90">
        <v>95330</v>
      </c>
      <c r="AB567" t="s">
        <v>747</v>
      </c>
      <c r="AC567" t="s">
        <v>0</v>
      </c>
      <c r="AD567" t="s">
        <v>143</v>
      </c>
    </row>
    <row r="568" spans="2:30" x14ac:dyDescent="0.25">
      <c r="B568">
        <v>3016</v>
      </c>
      <c r="C568" t="s">
        <v>1136</v>
      </c>
      <c r="D568">
        <v>2016</v>
      </c>
      <c r="F568" s="89">
        <v>0</v>
      </c>
      <c r="G568" s="89" t="s">
        <v>128</v>
      </c>
      <c r="H568" s="89"/>
      <c r="I568" s="89">
        <v>0</v>
      </c>
      <c r="J568" s="89">
        <v>0</v>
      </c>
      <c r="K568" s="89">
        <v>0</v>
      </c>
      <c r="L568" s="89">
        <v>0</v>
      </c>
      <c r="M568" s="89">
        <v>0</v>
      </c>
      <c r="N568" s="89"/>
      <c r="O568" s="89">
        <v>0</v>
      </c>
      <c r="P568" s="89">
        <v>0</v>
      </c>
      <c r="Q568" s="89">
        <v>0</v>
      </c>
      <c r="R568" s="89">
        <v>0</v>
      </c>
      <c r="S568" s="89">
        <v>0</v>
      </c>
      <c r="T568"/>
      <c r="U568" t="s">
        <v>129</v>
      </c>
      <c r="V568" t="s">
        <v>129</v>
      </c>
      <c r="Y568" t="s">
        <v>283</v>
      </c>
      <c r="Z568" t="s">
        <v>131</v>
      </c>
      <c r="AA568" s="90">
        <v>92122</v>
      </c>
      <c r="AB568" t="s">
        <v>158</v>
      </c>
      <c r="AC568" t="s">
        <v>136</v>
      </c>
      <c r="AD568" t="s">
        <v>137</v>
      </c>
    </row>
    <row r="569" spans="2:30" x14ac:dyDescent="0.25">
      <c r="B569">
        <v>104667</v>
      </c>
      <c r="C569" t="s">
        <v>1137</v>
      </c>
      <c r="D569">
        <v>2016</v>
      </c>
      <c r="F569" s="89">
        <v>32674.276539999999</v>
      </c>
      <c r="G569" s="89" t="s">
        <v>128</v>
      </c>
      <c r="H569" s="89"/>
      <c r="I569" s="89">
        <v>32674.276539999999</v>
      </c>
      <c r="J569" s="89">
        <v>0</v>
      </c>
      <c r="K569" s="89">
        <v>0</v>
      </c>
      <c r="L569" s="89">
        <v>0</v>
      </c>
      <c r="M569" s="89">
        <v>0</v>
      </c>
      <c r="N569" s="89"/>
      <c r="O569" s="89">
        <v>32674.276539999999</v>
      </c>
      <c r="P569" s="89">
        <v>0</v>
      </c>
      <c r="Q569" s="89">
        <v>0</v>
      </c>
      <c r="R569" s="89">
        <v>32674.276539999999</v>
      </c>
      <c r="S569" s="89">
        <v>0</v>
      </c>
      <c r="T569"/>
      <c r="U569" t="s">
        <v>155</v>
      </c>
      <c r="V569" t="s">
        <v>129</v>
      </c>
      <c r="W569" t="s">
        <v>222</v>
      </c>
      <c r="Y569" t="s">
        <v>283</v>
      </c>
      <c r="Z569" t="s">
        <v>131</v>
      </c>
      <c r="AA569" s="90">
        <v>92154</v>
      </c>
      <c r="AB569" t="s">
        <v>132</v>
      </c>
      <c r="AC569" t="s">
        <v>385</v>
      </c>
      <c r="AD569" t="s">
        <v>140</v>
      </c>
    </row>
    <row r="570" spans="2:30" x14ac:dyDescent="0.25">
      <c r="B570">
        <v>100151</v>
      </c>
      <c r="C570" t="s">
        <v>1138</v>
      </c>
      <c r="D570">
        <v>2016</v>
      </c>
      <c r="F570" s="89">
        <v>93599.435046400002</v>
      </c>
      <c r="G570" s="89" t="s">
        <v>128</v>
      </c>
      <c r="H570" s="89"/>
      <c r="I570" s="89">
        <v>93599.435046400002</v>
      </c>
      <c r="J570" s="89">
        <v>0</v>
      </c>
      <c r="K570" s="89">
        <v>0</v>
      </c>
      <c r="L570" s="89">
        <v>0</v>
      </c>
      <c r="M570" s="89">
        <v>0</v>
      </c>
      <c r="N570" s="89"/>
      <c r="O570" s="89">
        <v>93599.435046400002</v>
      </c>
      <c r="P570" s="89">
        <v>0</v>
      </c>
      <c r="Q570" s="89">
        <v>0</v>
      </c>
      <c r="R570" s="89">
        <v>93599.435046400002</v>
      </c>
      <c r="S570" s="89">
        <v>0</v>
      </c>
      <c r="T570"/>
      <c r="U570" t="s">
        <v>155</v>
      </c>
      <c r="V570" t="s">
        <v>129</v>
      </c>
      <c r="W570" t="s">
        <v>156</v>
      </c>
      <c r="Y570" t="s">
        <v>1139</v>
      </c>
      <c r="Z570" t="s">
        <v>131</v>
      </c>
      <c r="AA570" s="90">
        <v>91350</v>
      </c>
      <c r="AB570" t="s">
        <v>304</v>
      </c>
      <c r="AC570" t="s">
        <v>0</v>
      </c>
      <c r="AD570" t="s">
        <v>143</v>
      </c>
    </row>
    <row r="571" spans="2:30" x14ac:dyDescent="0.25">
      <c r="B571">
        <v>5024</v>
      </c>
      <c r="C571" t="s">
        <v>1140</v>
      </c>
      <c r="D571">
        <v>2016</v>
      </c>
      <c r="F571" s="89">
        <v>0</v>
      </c>
      <c r="G571" s="89" t="s">
        <v>128</v>
      </c>
      <c r="H571" s="89"/>
      <c r="I571" s="89">
        <v>0</v>
      </c>
      <c r="J571" s="89">
        <v>0</v>
      </c>
      <c r="K571" s="89">
        <v>0</v>
      </c>
      <c r="L571" s="89">
        <v>0</v>
      </c>
      <c r="M571" s="89">
        <v>0</v>
      </c>
      <c r="N571" s="89"/>
      <c r="O571" s="89">
        <v>0</v>
      </c>
      <c r="P571" s="89">
        <v>0</v>
      </c>
      <c r="Q571" s="89">
        <v>0</v>
      </c>
      <c r="R571" s="89">
        <v>0</v>
      </c>
      <c r="S571" s="89">
        <v>0</v>
      </c>
      <c r="T571"/>
      <c r="U571" t="s">
        <v>129</v>
      </c>
      <c r="V571" t="s">
        <v>129</v>
      </c>
      <c r="Y571" t="s">
        <v>1141</v>
      </c>
      <c r="Z571" t="s">
        <v>131</v>
      </c>
      <c r="AA571" s="90">
        <v>94592</v>
      </c>
      <c r="AB571" t="s">
        <v>158</v>
      </c>
      <c r="AC571" t="s">
        <v>136</v>
      </c>
      <c r="AD571" t="s">
        <v>137</v>
      </c>
    </row>
    <row r="572" spans="2:30" x14ac:dyDescent="0.25">
      <c r="B572">
        <v>101685</v>
      </c>
      <c r="C572" t="s">
        <v>1142</v>
      </c>
      <c r="D572">
        <v>2016</v>
      </c>
      <c r="F572" s="89">
        <v>127859.573704471</v>
      </c>
      <c r="G572" s="89" t="s">
        <v>128</v>
      </c>
      <c r="H572" s="89"/>
      <c r="I572" s="89">
        <v>66188.271704471394</v>
      </c>
      <c r="J572" s="89">
        <v>61671.302000000003</v>
      </c>
      <c r="K572" s="89">
        <v>0</v>
      </c>
      <c r="L572" s="89">
        <v>0</v>
      </c>
      <c r="M572" s="89">
        <v>0</v>
      </c>
      <c r="N572" s="89"/>
      <c r="O572" s="89">
        <v>66188.271704471394</v>
      </c>
      <c r="P572" s="89">
        <v>0</v>
      </c>
      <c r="Q572" s="89">
        <v>0</v>
      </c>
      <c r="R572" s="89">
        <v>66188.271704471394</v>
      </c>
      <c r="S572" s="89">
        <v>61671.302000000003</v>
      </c>
      <c r="T572"/>
      <c r="U572" t="s">
        <v>155</v>
      </c>
      <c r="V572" t="s">
        <v>129</v>
      </c>
      <c r="W572" t="s">
        <v>364</v>
      </c>
      <c r="Y572" t="s">
        <v>1143</v>
      </c>
      <c r="Z572" t="s">
        <v>131</v>
      </c>
      <c r="AA572" s="90">
        <v>93256</v>
      </c>
      <c r="AB572" t="s">
        <v>132</v>
      </c>
      <c r="AC572" t="s">
        <v>1144</v>
      </c>
      <c r="AD572" t="s">
        <v>133</v>
      </c>
    </row>
    <row r="573" spans="2:30" x14ac:dyDescent="0.25">
      <c r="B573">
        <v>100888</v>
      </c>
      <c r="C573" t="s">
        <v>1145</v>
      </c>
      <c r="D573">
        <v>2016</v>
      </c>
      <c r="F573" s="89">
        <v>1094563.0196084999</v>
      </c>
      <c r="G573" s="89" t="s">
        <v>128</v>
      </c>
      <c r="H573" s="89"/>
      <c r="I573" s="89">
        <v>62483.883131304101</v>
      </c>
      <c r="J573" s="89">
        <v>0</v>
      </c>
      <c r="K573" s="89">
        <v>1032079.13647719</v>
      </c>
      <c r="L573" s="89">
        <v>0</v>
      </c>
      <c r="M573" s="89">
        <v>0</v>
      </c>
      <c r="N573" s="89"/>
      <c r="O573" s="89">
        <v>62441.193131304099</v>
      </c>
      <c r="P573" s="89">
        <v>24253.444216044001</v>
      </c>
      <c r="Q573" s="89">
        <v>0</v>
      </c>
      <c r="R573" s="89">
        <v>86694.637347348107</v>
      </c>
      <c r="S573" s="89">
        <v>1007868.3822611501</v>
      </c>
      <c r="T573"/>
      <c r="U573" t="s">
        <v>155</v>
      </c>
      <c r="V573" t="s">
        <v>155</v>
      </c>
      <c r="W573" t="s">
        <v>277</v>
      </c>
      <c r="Y573" t="s">
        <v>814</v>
      </c>
      <c r="Z573" t="s">
        <v>131</v>
      </c>
      <c r="AA573" s="90">
        <v>93263</v>
      </c>
      <c r="AB573" t="s">
        <v>327</v>
      </c>
      <c r="AC573" t="s">
        <v>1146</v>
      </c>
      <c r="AD573" t="s">
        <v>172</v>
      </c>
    </row>
    <row r="574" spans="2:30" x14ac:dyDescent="0.25">
      <c r="B574">
        <v>104557</v>
      </c>
      <c r="C574" t="s">
        <v>1147</v>
      </c>
      <c r="D574">
        <v>2016</v>
      </c>
      <c r="F574" s="89">
        <v>85883.027594287996</v>
      </c>
      <c r="G574" s="89" t="s">
        <v>128</v>
      </c>
      <c r="H574" s="89"/>
      <c r="I574" s="89">
        <v>0</v>
      </c>
      <c r="J574" s="89">
        <v>0</v>
      </c>
      <c r="K574" s="89">
        <v>85883.027594287996</v>
      </c>
      <c r="L574" s="89">
        <v>0</v>
      </c>
      <c r="M574" s="89">
        <v>0</v>
      </c>
      <c r="N574" s="89"/>
      <c r="O574" s="89">
        <v>0</v>
      </c>
      <c r="P574" s="89">
        <v>85883.027594287996</v>
      </c>
      <c r="Q574" s="89">
        <v>0</v>
      </c>
      <c r="R574" s="89">
        <v>85883.027594287996</v>
      </c>
      <c r="S574" s="89">
        <v>0</v>
      </c>
      <c r="T574"/>
      <c r="U574" t="s">
        <v>155</v>
      </c>
      <c r="V574" t="s">
        <v>129</v>
      </c>
      <c r="W574" t="s">
        <v>277</v>
      </c>
      <c r="Y574" t="s">
        <v>1148</v>
      </c>
      <c r="Z574" t="s">
        <v>61</v>
      </c>
      <c r="AA574" s="9" t="s">
        <v>1149</v>
      </c>
      <c r="AB574" t="s">
        <v>146</v>
      </c>
      <c r="AC574" t="s">
        <v>259</v>
      </c>
      <c r="AD574" t="s">
        <v>260</v>
      </c>
    </row>
    <row r="575" spans="2:30" x14ac:dyDescent="0.25">
      <c r="B575">
        <v>3100</v>
      </c>
      <c r="C575" t="s">
        <v>1150</v>
      </c>
      <c r="D575">
        <v>2016</v>
      </c>
      <c r="F575" s="89">
        <v>4462.5163199999997</v>
      </c>
      <c r="G575" s="89" t="s">
        <v>128</v>
      </c>
      <c r="H575" s="89"/>
      <c r="I575" s="89">
        <v>0</v>
      </c>
      <c r="J575" s="89">
        <v>0</v>
      </c>
      <c r="K575" s="89">
        <v>0</v>
      </c>
      <c r="L575" s="89">
        <v>0</v>
      </c>
      <c r="M575" s="89">
        <v>4462.5163199999997</v>
      </c>
      <c r="N575" s="89"/>
      <c r="O575" s="89">
        <v>0</v>
      </c>
      <c r="P575" s="89">
        <v>0</v>
      </c>
      <c r="Q575" s="89">
        <v>4462.5163199999997</v>
      </c>
      <c r="R575" s="89">
        <v>4462.5163199999997</v>
      </c>
      <c r="S575" s="89">
        <v>0</v>
      </c>
      <c r="T575"/>
      <c r="U575" t="s">
        <v>155</v>
      </c>
      <c r="V575" t="s">
        <v>129</v>
      </c>
      <c r="W575" t="s">
        <v>197</v>
      </c>
      <c r="Y575" t="s">
        <v>1151</v>
      </c>
      <c r="Z575" t="s">
        <v>131</v>
      </c>
      <c r="AA575" s="90">
        <v>96122</v>
      </c>
      <c r="AB575" t="s">
        <v>158</v>
      </c>
      <c r="AC575" t="s">
        <v>136</v>
      </c>
      <c r="AD575" t="s">
        <v>137</v>
      </c>
    </row>
    <row r="576" spans="2:30" x14ac:dyDescent="0.25">
      <c r="B576">
        <v>3051</v>
      </c>
      <c r="C576" t="s">
        <v>1152</v>
      </c>
      <c r="D576">
        <v>2016</v>
      </c>
      <c r="F576" s="89">
        <v>0</v>
      </c>
      <c r="G576" s="89" t="s">
        <v>128</v>
      </c>
      <c r="H576" s="89"/>
      <c r="I576" s="89">
        <v>0</v>
      </c>
      <c r="J576" s="89">
        <v>0</v>
      </c>
      <c r="K576" s="89">
        <v>0</v>
      </c>
      <c r="L576" s="89">
        <v>0</v>
      </c>
      <c r="M576" s="89">
        <v>0</v>
      </c>
      <c r="N576" s="89"/>
      <c r="O576" s="89">
        <v>0</v>
      </c>
      <c r="P576" s="89">
        <v>0</v>
      </c>
      <c r="Q576" s="89">
        <v>0</v>
      </c>
      <c r="R576" s="89">
        <v>0</v>
      </c>
      <c r="S576" s="89">
        <v>0</v>
      </c>
      <c r="T576"/>
      <c r="U576" t="s">
        <v>129</v>
      </c>
      <c r="V576" t="s">
        <v>129</v>
      </c>
      <c r="Y576" t="s">
        <v>149</v>
      </c>
      <c r="Z576" t="s">
        <v>131</v>
      </c>
      <c r="AA576" s="90">
        <v>94607</v>
      </c>
      <c r="AB576" t="s">
        <v>158</v>
      </c>
      <c r="AC576" t="s">
        <v>136</v>
      </c>
      <c r="AD576" t="s">
        <v>137</v>
      </c>
    </row>
    <row r="577" spans="2:30" x14ac:dyDescent="0.25">
      <c r="B577">
        <v>3052</v>
      </c>
      <c r="C577" t="s">
        <v>1153</v>
      </c>
      <c r="D577">
        <v>2016</v>
      </c>
      <c r="F577" s="89">
        <v>0</v>
      </c>
      <c r="G577" s="89" t="s">
        <v>128</v>
      </c>
      <c r="H577" s="89"/>
      <c r="I577" s="89">
        <v>0</v>
      </c>
      <c r="J577" s="89">
        <v>0</v>
      </c>
      <c r="K577" s="89">
        <v>0</v>
      </c>
      <c r="L577" s="89">
        <v>0</v>
      </c>
      <c r="M577" s="89">
        <v>0</v>
      </c>
      <c r="N577" s="89"/>
      <c r="O577" s="89">
        <v>0</v>
      </c>
      <c r="P577" s="89">
        <v>0</v>
      </c>
      <c r="Q577" s="89">
        <v>0</v>
      </c>
      <c r="R577" s="89">
        <v>0</v>
      </c>
      <c r="S577" s="89">
        <v>0</v>
      </c>
      <c r="T577"/>
      <c r="U577" t="s">
        <v>129</v>
      </c>
      <c r="V577" t="s">
        <v>129</v>
      </c>
      <c r="Y577" t="s">
        <v>487</v>
      </c>
      <c r="Z577" t="s">
        <v>131</v>
      </c>
      <c r="AA577" s="90">
        <v>95203</v>
      </c>
      <c r="AB577" t="s">
        <v>158</v>
      </c>
      <c r="AC577" t="s">
        <v>136</v>
      </c>
      <c r="AD577" t="s">
        <v>137</v>
      </c>
    </row>
    <row r="578" spans="2:30" x14ac:dyDescent="0.25">
      <c r="B578">
        <v>2127</v>
      </c>
      <c r="C578" t="s">
        <v>1154</v>
      </c>
      <c r="D578">
        <v>2016</v>
      </c>
      <c r="F578" s="89">
        <v>221457.58437600001</v>
      </c>
      <c r="G578" s="89" t="s">
        <v>128</v>
      </c>
      <c r="H578" s="89"/>
      <c r="I578" s="89">
        <v>0</v>
      </c>
      <c r="J578" s="89">
        <v>0</v>
      </c>
      <c r="K578" s="89">
        <v>0</v>
      </c>
      <c r="L578" s="89">
        <v>0</v>
      </c>
      <c r="M578" s="89">
        <v>221457.58437600001</v>
      </c>
      <c r="N578" s="89"/>
      <c r="O578" s="89">
        <v>0</v>
      </c>
      <c r="P578" s="89">
        <v>0</v>
      </c>
      <c r="Q578" s="89">
        <v>37503.184375999997</v>
      </c>
      <c r="R578" s="89">
        <v>37503.184375999997</v>
      </c>
      <c r="S578" s="89">
        <v>183954.4</v>
      </c>
      <c r="T578"/>
      <c r="U578" t="s">
        <v>155</v>
      </c>
      <c r="V578" t="s">
        <v>129</v>
      </c>
      <c r="W578" t="s">
        <v>222</v>
      </c>
      <c r="Y578" t="s">
        <v>300</v>
      </c>
      <c r="Z578" t="s">
        <v>301</v>
      </c>
      <c r="AA578" s="90">
        <v>97204</v>
      </c>
      <c r="AB578" t="s">
        <v>132</v>
      </c>
      <c r="AC578" t="s">
        <v>136</v>
      </c>
      <c r="AD578" t="s">
        <v>137</v>
      </c>
    </row>
    <row r="579" spans="2:30" x14ac:dyDescent="0.25">
      <c r="B579">
        <v>104681</v>
      </c>
      <c r="C579" t="s">
        <v>1155</v>
      </c>
      <c r="D579">
        <v>2016</v>
      </c>
      <c r="F579" s="89">
        <v>25108.4622732276</v>
      </c>
      <c r="G579" s="89" t="s">
        <v>128</v>
      </c>
      <c r="H579" s="89"/>
      <c r="I579" s="89">
        <v>125.962273227625</v>
      </c>
      <c r="J579" s="89">
        <v>24982.5</v>
      </c>
      <c r="K579" s="89">
        <v>0</v>
      </c>
      <c r="L579" s="89">
        <v>0</v>
      </c>
      <c r="M579" s="89">
        <v>0</v>
      </c>
      <c r="N579" s="89"/>
      <c r="O579" s="89">
        <v>0</v>
      </c>
      <c r="P579" s="89">
        <v>0</v>
      </c>
      <c r="Q579" s="89">
        <v>0</v>
      </c>
      <c r="R579" s="89">
        <v>0</v>
      </c>
      <c r="S579" s="89">
        <v>25108.4622732276</v>
      </c>
      <c r="T579"/>
      <c r="U579" t="s">
        <v>155</v>
      </c>
      <c r="V579" t="s">
        <v>129</v>
      </c>
      <c r="W579" t="s">
        <v>232</v>
      </c>
      <c r="Y579" t="s">
        <v>838</v>
      </c>
      <c r="Z579" t="s">
        <v>131</v>
      </c>
      <c r="AA579" s="90">
        <v>94585</v>
      </c>
      <c r="AB579" t="s">
        <v>241</v>
      </c>
      <c r="AC579" t="s">
        <v>0</v>
      </c>
      <c r="AD579" t="s">
        <v>140</v>
      </c>
    </row>
    <row r="580" spans="2:30" x14ac:dyDescent="0.25">
      <c r="B580">
        <v>3053</v>
      </c>
      <c r="C580" t="s">
        <v>1156</v>
      </c>
      <c r="D580">
        <v>2016</v>
      </c>
      <c r="F580" s="89">
        <v>0</v>
      </c>
      <c r="G580" s="89" t="s">
        <v>128</v>
      </c>
      <c r="H580" s="89"/>
      <c r="I580" s="89">
        <v>0</v>
      </c>
      <c r="J580" s="89">
        <v>0</v>
      </c>
      <c r="K580" s="89">
        <v>0</v>
      </c>
      <c r="L580" s="89">
        <v>0</v>
      </c>
      <c r="M580" s="89">
        <v>0</v>
      </c>
      <c r="N580" s="89"/>
      <c r="O580" s="89">
        <v>0</v>
      </c>
      <c r="P580" s="89">
        <v>0</v>
      </c>
      <c r="Q580" s="89">
        <v>0</v>
      </c>
      <c r="R580" s="89">
        <v>0</v>
      </c>
      <c r="S580" s="89">
        <v>0</v>
      </c>
      <c r="T580"/>
      <c r="U580" t="s">
        <v>129</v>
      </c>
      <c r="V580" t="s">
        <v>129</v>
      </c>
      <c r="Y580" t="s">
        <v>1077</v>
      </c>
      <c r="Z580" t="s">
        <v>131</v>
      </c>
      <c r="AA580" s="90">
        <v>95304</v>
      </c>
      <c r="AB580" t="s">
        <v>665</v>
      </c>
      <c r="AC580" t="s">
        <v>136</v>
      </c>
      <c r="AD580" t="s">
        <v>137</v>
      </c>
    </row>
    <row r="581" spans="2:30" x14ac:dyDescent="0.25">
      <c r="B581">
        <v>3101</v>
      </c>
      <c r="C581" t="s">
        <v>1157</v>
      </c>
      <c r="D581">
        <v>2016</v>
      </c>
      <c r="F581" s="89">
        <v>0</v>
      </c>
      <c r="G581" s="89" t="s">
        <v>128</v>
      </c>
      <c r="H581" s="89"/>
      <c r="I581" s="89">
        <v>0</v>
      </c>
      <c r="J581" s="89">
        <v>0</v>
      </c>
      <c r="K581" s="89">
        <v>0</v>
      </c>
      <c r="L581" s="89">
        <v>0</v>
      </c>
      <c r="M581" s="89">
        <v>0</v>
      </c>
      <c r="N581" s="89"/>
      <c r="O581" s="89">
        <v>0</v>
      </c>
      <c r="P581" s="89">
        <v>0</v>
      </c>
      <c r="Q581" s="89">
        <v>0</v>
      </c>
      <c r="R581" s="89">
        <v>0</v>
      </c>
      <c r="S581" s="89">
        <v>0</v>
      </c>
      <c r="T581"/>
      <c r="U581" t="s">
        <v>155</v>
      </c>
      <c r="V581" t="s">
        <v>129</v>
      </c>
      <c r="W581" t="s">
        <v>337</v>
      </c>
      <c r="Y581" t="s">
        <v>1158</v>
      </c>
      <c r="Z581" t="s">
        <v>584</v>
      </c>
      <c r="AA581" s="9" t="s">
        <v>1159</v>
      </c>
      <c r="AB581" t="s">
        <v>308</v>
      </c>
      <c r="AC581" t="s">
        <v>136</v>
      </c>
      <c r="AD581" t="s">
        <v>137</v>
      </c>
    </row>
    <row r="582" spans="2:30" x14ac:dyDescent="0.25">
      <c r="B582">
        <v>2243</v>
      </c>
      <c r="C582" t="s">
        <v>1160</v>
      </c>
      <c r="D582">
        <v>2016</v>
      </c>
      <c r="F582" s="89">
        <v>786950.22254790098</v>
      </c>
      <c r="G582" s="89" t="s">
        <v>128</v>
      </c>
      <c r="H582" s="89"/>
      <c r="I582" s="89">
        <v>0</v>
      </c>
      <c r="J582" s="89">
        <v>0</v>
      </c>
      <c r="K582" s="89">
        <v>0</v>
      </c>
      <c r="L582" s="89">
        <v>0</v>
      </c>
      <c r="M582" s="89">
        <v>786950.22254790098</v>
      </c>
      <c r="N582" s="89"/>
      <c r="O582" s="89">
        <v>0</v>
      </c>
      <c r="P582" s="89">
        <v>0</v>
      </c>
      <c r="Q582" s="89">
        <v>195505.54101893099</v>
      </c>
      <c r="R582" s="89">
        <v>195505.54101893099</v>
      </c>
      <c r="S582" s="89">
        <v>591444.68152897002</v>
      </c>
      <c r="T582"/>
      <c r="U582" t="s">
        <v>155</v>
      </c>
      <c r="V582" t="s">
        <v>129</v>
      </c>
      <c r="W582" t="s">
        <v>337</v>
      </c>
      <c r="Y582" t="s">
        <v>1158</v>
      </c>
      <c r="Z582" t="s">
        <v>584</v>
      </c>
      <c r="AA582" s="9" t="s">
        <v>1159</v>
      </c>
      <c r="AB582" t="s">
        <v>308</v>
      </c>
      <c r="AC582" t="s">
        <v>136</v>
      </c>
      <c r="AD582" t="s">
        <v>137</v>
      </c>
    </row>
    <row r="583" spans="2:30" x14ac:dyDescent="0.25">
      <c r="B583">
        <v>101053</v>
      </c>
      <c r="C583" t="s">
        <v>1161</v>
      </c>
      <c r="D583">
        <v>2016</v>
      </c>
      <c r="F583" s="89">
        <v>70979.174523562804</v>
      </c>
      <c r="G583" s="89" t="s">
        <v>128</v>
      </c>
      <c r="H583" s="89"/>
      <c r="I583" s="89">
        <v>70979.174523562804</v>
      </c>
      <c r="J583" s="89">
        <v>0</v>
      </c>
      <c r="K583" s="89">
        <v>0</v>
      </c>
      <c r="L583" s="89">
        <v>0</v>
      </c>
      <c r="M583" s="89">
        <v>0</v>
      </c>
      <c r="N583" s="89"/>
      <c r="O583" s="89">
        <v>70979.174523562804</v>
      </c>
      <c r="P583" s="89">
        <v>0</v>
      </c>
      <c r="Q583" s="89">
        <v>0</v>
      </c>
      <c r="R583" s="89">
        <v>70979.174523562804</v>
      </c>
      <c r="S583" s="89">
        <v>0</v>
      </c>
      <c r="T583"/>
      <c r="U583" t="s">
        <v>155</v>
      </c>
      <c r="V583" t="s">
        <v>155</v>
      </c>
      <c r="W583" t="s">
        <v>372</v>
      </c>
      <c r="Y583" t="s">
        <v>1013</v>
      </c>
      <c r="Z583" t="s">
        <v>131</v>
      </c>
      <c r="AA583" s="90">
        <v>91761</v>
      </c>
      <c r="AB583" t="s">
        <v>198</v>
      </c>
      <c r="AC583" t="s">
        <v>199</v>
      </c>
      <c r="AD583" t="s">
        <v>200</v>
      </c>
    </row>
    <row r="584" spans="2:30" x14ac:dyDescent="0.25">
      <c r="B584">
        <v>104394</v>
      </c>
      <c r="C584" t="s">
        <v>1162</v>
      </c>
      <c r="D584">
        <v>2016</v>
      </c>
      <c r="F584" s="89">
        <v>19369.066897600002</v>
      </c>
      <c r="G584" s="89" t="s">
        <v>128</v>
      </c>
      <c r="H584" s="89"/>
      <c r="I584" s="89">
        <v>19369.066897600002</v>
      </c>
      <c r="J584" s="89">
        <v>0</v>
      </c>
      <c r="K584" s="89">
        <v>0</v>
      </c>
      <c r="L584" s="89">
        <v>0</v>
      </c>
      <c r="M584" s="89">
        <v>0</v>
      </c>
      <c r="N584" s="89"/>
      <c r="O584" s="89">
        <v>0</v>
      </c>
      <c r="P584" s="89">
        <v>0</v>
      </c>
      <c r="Q584" s="89">
        <v>0</v>
      </c>
      <c r="R584" s="89">
        <v>0</v>
      </c>
      <c r="S584" s="89">
        <v>19369.066897600002</v>
      </c>
      <c r="T584"/>
      <c r="U584" t="s">
        <v>129</v>
      </c>
      <c r="V584" t="s">
        <v>129</v>
      </c>
      <c r="Y584" t="s">
        <v>496</v>
      </c>
      <c r="Z584" t="s">
        <v>131</v>
      </c>
      <c r="AA584" s="90">
        <v>90723</v>
      </c>
      <c r="AB584" t="s">
        <v>497</v>
      </c>
      <c r="AC584" t="s">
        <v>0</v>
      </c>
      <c r="AD584" t="s">
        <v>143</v>
      </c>
    </row>
    <row r="585" spans="2:30" x14ac:dyDescent="0.25">
      <c r="B585">
        <v>104206</v>
      </c>
      <c r="C585" t="s">
        <v>1163</v>
      </c>
      <c r="D585">
        <v>2016</v>
      </c>
      <c r="F585" s="89">
        <v>22913.358351999999</v>
      </c>
      <c r="G585" s="89" t="s">
        <v>128</v>
      </c>
      <c r="H585" s="89"/>
      <c r="I585" s="89">
        <v>22913.358351999999</v>
      </c>
      <c r="J585" s="89">
        <v>0</v>
      </c>
      <c r="K585" s="89">
        <v>0</v>
      </c>
      <c r="L585" s="89">
        <v>0</v>
      </c>
      <c r="M585" s="89">
        <v>0</v>
      </c>
      <c r="N585" s="89"/>
      <c r="O585" s="89">
        <v>22913.358351999999</v>
      </c>
      <c r="P585" s="89">
        <v>0</v>
      </c>
      <c r="Q585" s="89">
        <v>0</v>
      </c>
      <c r="R585" s="89">
        <v>22913.358351999999</v>
      </c>
      <c r="S585" s="89">
        <v>0</v>
      </c>
      <c r="T585"/>
      <c r="U585" t="s">
        <v>155</v>
      </c>
      <c r="V585" t="s">
        <v>129</v>
      </c>
      <c r="W585" t="s">
        <v>509</v>
      </c>
      <c r="Y585" t="s">
        <v>1164</v>
      </c>
      <c r="Z585" t="s">
        <v>131</v>
      </c>
      <c r="AA585" s="90">
        <v>90248</v>
      </c>
      <c r="AB585" t="s">
        <v>1165</v>
      </c>
      <c r="AC585" t="s">
        <v>0</v>
      </c>
      <c r="AD585" t="s">
        <v>143</v>
      </c>
    </row>
    <row r="586" spans="2:30" x14ac:dyDescent="0.25">
      <c r="B586">
        <v>104423</v>
      </c>
      <c r="C586" t="s">
        <v>1166</v>
      </c>
      <c r="D586">
        <v>2016</v>
      </c>
      <c r="F586" s="89">
        <v>19686.3737712</v>
      </c>
      <c r="G586" s="89" t="s">
        <v>128</v>
      </c>
      <c r="H586" s="89"/>
      <c r="I586" s="89">
        <v>19686.3737712</v>
      </c>
      <c r="J586" s="89">
        <v>0</v>
      </c>
      <c r="K586" s="89">
        <v>0</v>
      </c>
      <c r="L586" s="89">
        <v>0</v>
      </c>
      <c r="M586" s="89">
        <v>0</v>
      </c>
      <c r="N586" s="89"/>
      <c r="O586" s="89">
        <v>0</v>
      </c>
      <c r="P586" s="89">
        <v>0</v>
      </c>
      <c r="Q586" s="89">
        <v>0</v>
      </c>
      <c r="R586" s="89">
        <v>0</v>
      </c>
      <c r="S586" s="89">
        <v>19686.3737712</v>
      </c>
      <c r="T586"/>
      <c r="U586" t="s">
        <v>155</v>
      </c>
      <c r="V586" t="s">
        <v>129</v>
      </c>
      <c r="W586" t="s">
        <v>156</v>
      </c>
      <c r="Y586" t="s">
        <v>1167</v>
      </c>
      <c r="Z586" t="s">
        <v>131</v>
      </c>
      <c r="AA586" s="90">
        <v>95826</v>
      </c>
      <c r="AB586" t="s">
        <v>195</v>
      </c>
      <c r="AC586" t="s">
        <v>0</v>
      </c>
      <c r="AD586" t="s">
        <v>143</v>
      </c>
    </row>
    <row r="587" spans="2:30" x14ac:dyDescent="0.25">
      <c r="B587">
        <v>101497</v>
      </c>
      <c r="C587" t="s">
        <v>1168</v>
      </c>
      <c r="D587">
        <v>2016</v>
      </c>
      <c r="F587" s="89">
        <v>19845.637535999998</v>
      </c>
      <c r="G587" s="89" t="s">
        <v>128</v>
      </c>
      <c r="H587" s="89"/>
      <c r="I587" s="89">
        <v>19845.637535999998</v>
      </c>
      <c r="J587" s="89">
        <v>0</v>
      </c>
      <c r="K587" s="89">
        <v>0</v>
      </c>
      <c r="L587" s="89">
        <v>0</v>
      </c>
      <c r="M587" s="89">
        <v>0</v>
      </c>
      <c r="N587" s="89"/>
      <c r="O587" s="89">
        <v>19845.637535999998</v>
      </c>
      <c r="P587" s="89">
        <v>0</v>
      </c>
      <c r="Q587" s="89">
        <v>0</v>
      </c>
      <c r="R587" s="89">
        <v>19845.637535999998</v>
      </c>
      <c r="S587" s="89">
        <v>0</v>
      </c>
      <c r="T587"/>
      <c r="U587" t="s">
        <v>155</v>
      </c>
      <c r="V587" t="s">
        <v>129</v>
      </c>
      <c r="W587" t="s">
        <v>156</v>
      </c>
      <c r="Y587" t="s">
        <v>458</v>
      </c>
      <c r="Z587" t="s">
        <v>131</v>
      </c>
      <c r="AA587" s="90">
        <v>95993</v>
      </c>
      <c r="AB587" t="s">
        <v>132</v>
      </c>
      <c r="AC587" t="s">
        <v>0</v>
      </c>
      <c r="AD587" t="s">
        <v>140</v>
      </c>
    </row>
    <row r="588" spans="2:30" x14ac:dyDescent="0.25">
      <c r="B588">
        <v>100182</v>
      </c>
      <c r="C588" t="s">
        <v>1169</v>
      </c>
      <c r="D588">
        <v>2016</v>
      </c>
      <c r="F588" s="89">
        <v>125269.928144</v>
      </c>
      <c r="G588" s="89" t="s">
        <v>128</v>
      </c>
      <c r="H588" s="89"/>
      <c r="I588" s="89">
        <v>125269.928144</v>
      </c>
      <c r="J588" s="89">
        <v>0</v>
      </c>
      <c r="K588" s="89">
        <v>0</v>
      </c>
      <c r="L588" s="89">
        <v>0</v>
      </c>
      <c r="M588" s="89">
        <v>0</v>
      </c>
      <c r="N588" s="89"/>
      <c r="O588" s="89">
        <v>125269.928144</v>
      </c>
      <c r="P588" s="89">
        <v>0</v>
      </c>
      <c r="Q588" s="89">
        <v>0</v>
      </c>
      <c r="R588" s="89">
        <v>125269.928144</v>
      </c>
      <c r="S588" s="89">
        <v>0</v>
      </c>
      <c r="T588"/>
      <c r="U588" t="s">
        <v>155</v>
      </c>
      <c r="V588" t="s">
        <v>129</v>
      </c>
      <c r="W588" t="s">
        <v>156</v>
      </c>
      <c r="Y588" t="s">
        <v>458</v>
      </c>
      <c r="Z588" t="s">
        <v>131</v>
      </c>
      <c r="AA588" s="90">
        <v>95993</v>
      </c>
      <c r="AB588" t="s">
        <v>132</v>
      </c>
      <c r="AC588" t="s">
        <v>0</v>
      </c>
      <c r="AD588" t="s">
        <v>133</v>
      </c>
    </row>
    <row r="589" spans="2:30" x14ac:dyDescent="0.25">
      <c r="B589">
        <v>104096</v>
      </c>
      <c r="C589" t="s">
        <v>1170</v>
      </c>
      <c r="D589">
        <v>2016</v>
      </c>
      <c r="F589" s="89">
        <v>537374.23821600003</v>
      </c>
      <c r="G589" s="89" t="s">
        <v>128</v>
      </c>
      <c r="H589" s="89"/>
      <c r="I589" s="89">
        <v>0</v>
      </c>
      <c r="J589" s="89">
        <v>0</v>
      </c>
      <c r="K589" s="89">
        <v>520130.42361599999</v>
      </c>
      <c r="L589" s="89">
        <v>17243.814600000002</v>
      </c>
      <c r="M589" s="89">
        <v>0</v>
      </c>
      <c r="N589" s="89"/>
      <c r="O589" s="89">
        <v>0</v>
      </c>
      <c r="P589" s="89">
        <v>520130.42361599999</v>
      </c>
      <c r="Q589" s="89">
        <v>0</v>
      </c>
      <c r="R589" s="89">
        <v>520130.42361599999</v>
      </c>
      <c r="S589" s="89">
        <v>17243.814600000002</v>
      </c>
      <c r="T589"/>
      <c r="U589" t="s">
        <v>155</v>
      </c>
      <c r="V589" t="s">
        <v>129</v>
      </c>
      <c r="W589" t="s">
        <v>368</v>
      </c>
      <c r="Y589" t="s">
        <v>1171</v>
      </c>
      <c r="Z589" t="s">
        <v>360</v>
      </c>
      <c r="AA589" s="90">
        <v>79416</v>
      </c>
      <c r="AB589" t="s">
        <v>146</v>
      </c>
      <c r="AC589" t="s">
        <v>147</v>
      </c>
      <c r="AD589" t="s">
        <v>148</v>
      </c>
    </row>
    <row r="590" spans="2:30" x14ac:dyDescent="0.25">
      <c r="B590">
        <v>104462</v>
      </c>
      <c r="C590" t="s">
        <v>1172</v>
      </c>
      <c r="D590">
        <v>2016</v>
      </c>
      <c r="F590" s="89">
        <v>628.54239134374097</v>
      </c>
      <c r="G590" s="89" t="s">
        <v>128</v>
      </c>
      <c r="H590" s="89"/>
      <c r="I590" s="89">
        <v>0</v>
      </c>
      <c r="J590" s="89">
        <v>0</v>
      </c>
      <c r="K590" s="89">
        <v>0</v>
      </c>
      <c r="L590" s="89">
        <v>0</v>
      </c>
      <c r="M590" s="89">
        <v>628.54239134374097</v>
      </c>
      <c r="N590" s="89"/>
      <c r="O590" s="89">
        <v>0</v>
      </c>
      <c r="P590" s="89">
        <v>0</v>
      </c>
      <c r="Q590" s="89">
        <v>628.54239134374097</v>
      </c>
      <c r="R590" s="89">
        <v>628.54239134374097</v>
      </c>
      <c r="S590" s="89">
        <v>0</v>
      </c>
      <c r="T590"/>
      <c r="U590" t="s">
        <v>155</v>
      </c>
      <c r="V590" t="s">
        <v>129</v>
      </c>
      <c r="W590" t="s">
        <v>232</v>
      </c>
      <c r="Y590" t="s">
        <v>1173</v>
      </c>
      <c r="Z590" t="s">
        <v>307</v>
      </c>
      <c r="AA590" s="90">
        <v>98004</v>
      </c>
      <c r="AB590" t="s">
        <v>381</v>
      </c>
      <c r="AC590" t="s">
        <v>136</v>
      </c>
      <c r="AD590" t="s">
        <v>137</v>
      </c>
    </row>
    <row r="591" spans="2:30" x14ac:dyDescent="0.25">
      <c r="B591">
        <v>101400</v>
      </c>
      <c r="C591" t="s">
        <v>1174</v>
      </c>
      <c r="D591">
        <v>2016</v>
      </c>
      <c r="F591" s="89">
        <v>25009.297731072002</v>
      </c>
      <c r="G591" s="89" t="s">
        <v>128</v>
      </c>
      <c r="H591" s="89"/>
      <c r="I591" s="89">
        <v>25009.297731072002</v>
      </c>
      <c r="J591" s="89">
        <v>0</v>
      </c>
      <c r="K591" s="89">
        <v>0</v>
      </c>
      <c r="L591" s="89">
        <v>0</v>
      </c>
      <c r="M591" s="89">
        <v>0</v>
      </c>
      <c r="N591" s="89"/>
      <c r="O591" s="89">
        <v>0</v>
      </c>
      <c r="P591" s="89">
        <v>0</v>
      </c>
      <c r="Q591" s="89">
        <v>0</v>
      </c>
      <c r="R591" s="89">
        <v>0</v>
      </c>
      <c r="S591" s="89">
        <v>25009.297731072002</v>
      </c>
      <c r="T591"/>
      <c r="U591" t="s">
        <v>155</v>
      </c>
      <c r="V591" t="s">
        <v>129</v>
      </c>
      <c r="W591" t="s">
        <v>337</v>
      </c>
      <c r="Y591" t="s">
        <v>283</v>
      </c>
      <c r="Z591" t="s">
        <v>131</v>
      </c>
      <c r="AA591" s="90">
        <v>92121</v>
      </c>
      <c r="AB591" t="s">
        <v>1175</v>
      </c>
      <c r="AC591" t="s">
        <v>0</v>
      </c>
      <c r="AD591" t="s">
        <v>143</v>
      </c>
    </row>
    <row r="592" spans="2:30" x14ac:dyDescent="0.25">
      <c r="B592">
        <v>101523</v>
      </c>
      <c r="C592" t="s">
        <v>1176</v>
      </c>
      <c r="D592">
        <v>2016</v>
      </c>
      <c r="F592" s="89">
        <v>41253.102672624002</v>
      </c>
      <c r="G592" s="89" t="s">
        <v>128</v>
      </c>
      <c r="H592" s="89"/>
      <c r="I592" s="89">
        <v>41253.102672624002</v>
      </c>
      <c r="J592" s="89">
        <v>0</v>
      </c>
      <c r="K592" s="89">
        <v>0</v>
      </c>
      <c r="L592" s="89">
        <v>0</v>
      </c>
      <c r="M592" s="89">
        <v>0</v>
      </c>
      <c r="N592" s="89"/>
      <c r="O592" s="89">
        <v>41253.102672624002</v>
      </c>
      <c r="P592" s="89">
        <v>0</v>
      </c>
      <c r="Q592" s="89">
        <v>0</v>
      </c>
      <c r="R592" s="89">
        <v>41253.102672624002</v>
      </c>
      <c r="S592" s="89">
        <v>0</v>
      </c>
      <c r="T592"/>
      <c r="U592" t="s">
        <v>155</v>
      </c>
      <c r="V592" t="s">
        <v>129</v>
      </c>
      <c r="W592" t="s">
        <v>337</v>
      </c>
      <c r="Y592" t="s">
        <v>283</v>
      </c>
      <c r="Z592" t="s">
        <v>131</v>
      </c>
      <c r="AA592" s="90">
        <v>92121</v>
      </c>
      <c r="AB592" t="s">
        <v>1175</v>
      </c>
      <c r="AC592" t="s">
        <v>0</v>
      </c>
      <c r="AD592" t="s">
        <v>143</v>
      </c>
    </row>
    <row r="593" spans="2:30" x14ac:dyDescent="0.25">
      <c r="B593">
        <v>104197</v>
      </c>
      <c r="C593" t="s">
        <v>1177</v>
      </c>
      <c r="D593">
        <v>2016</v>
      </c>
      <c r="F593" s="89">
        <v>40827.560272000002</v>
      </c>
      <c r="G593" s="89" t="s">
        <v>128</v>
      </c>
      <c r="H593" s="89"/>
      <c r="I593" s="89">
        <v>40827.560272000002</v>
      </c>
      <c r="J593" s="89">
        <v>0</v>
      </c>
      <c r="K593" s="89">
        <v>0</v>
      </c>
      <c r="L593" s="89">
        <v>0</v>
      </c>
      <c r="M593" s="89">
        <v>0</v>
      </c>
      <c r="N593" s="89"/>
      <c r="O593" s="89">
        <v>40827.560272000002</v>
      </c>
      <c r="P593" s="89">
        <v>0</v>
      </c>
      <c r="Q593" s="89">
        <v>0</v>
      </c>
      <c r="R593" s="89">
        <v>40827.560272000002</v>
      </c>
      <c r="S593" s="89">
        <v>0</v>
      </c>
      <c r="T593"/>
      <c r="U593" t="s">
        <v>155</v>
      </c>
      <c r="V593" t="s">
        <v>155</v>
      </c>
      <c r="W593" t="s">
        <v>770</v>
      </c>
      <c r="Y593" t="s">
        <v>540</v>
      </c>
      <c r="Z593" t="s">
        <v>131</v>
      </c>
      <c r="AA593" s="90">
        <v>91746</v>
      </c>
      <c r="AB593" t="s">
        <v>696</v>
      </c>
      <c r="AC593" t="s">
        <v>1178</v>
      </c>
      <c r="AD593" t="s">
        <v>143</v>
      </c>
    </row>
    <row r="594" spans="2:30" x14ac:dyDescent="0.25">
      <c r="B594">
        <v>5028</v>
      </c>
      <c r="C594" t="s">
        <v>1179</v>
      </c>
      <c r="D594">
        <v>2016</v>
      </c>
      <c r="F594" s="89">
        <v>0</v>
      </c>
      <c r="G594" s="89" t="s">
        <v>128</v>
      </c>
      <c r="H594" s="89"/>
      <c r="I594" s="89">
        <v>0</v>
      </c>
      <c r="J594" s="89">
        <v>0</v>
      </c>
      <c r="K594" s="89">
        <v>0</v>
      </c>
      <c r="L594" s="89">
        <v>0</v>
      </c>
      <c r="M594" s="89">
        <v>0</v>
      </c>
      <c r="N594" s="89"/>
      <c r="O594" s="89">
        <v>0</v>
      </c>
      <c r="P594" s="89">
        <v>0</v>
      </c>
      <c r="Q594" s="89">
        <v>0</v>
      </c>
      <c r="R594" s="89">
        <v>0</v>
      </c>
      <c r="S594" s="89">
        <v>0</v>
      </c>
      <c r="T594"/>
      <c r="U594" t="s">
        <v>129</v>
      </c>
      <c r="V594" t="s">
        <v>129</v>
      </c>
      <c r="Y594" t="s">
        <v>1180</v>
      </c>
      <c r="Z594" t="s">
        <v>1181</v>
      </c>
      <c r="AA594" s="90">
        <v>87401</v>
      </c>
      <c r="AB594" t="s">
        <v>451</v>
      </c>
      <c r="AC594" t="s">
        <v>259</v>
      </c>
      <c r="AD594" t="s">
        <v>260</v>
      </c>
    </row>
    <row r="595" spans="2:30" x14ac:dyDescent="0.25">
      <c r="B595">
        <v>104391</v>
      </c>
      <c r="C595" t="s">
        <v>1182</v>
      </c>
      <c r="D595">
        <v>2016</v>
      </c>
      <c r="F595" s="89">
        <v>22733.3009776</v>
      </c>
      <c r="G595" s="89" t="s">
        <v>128</v>
      </c>
      <c r="H595" s="89"/>
      <c r="I595" s="89">
        <v>22733.3009776</v>
      </c>
      <c r="J595" s="89">
        <v>0</v>
      </c>
      <c r="K595" s="89">
        <v>0</v>
      </c>
      <c r="L595" s="89">
        <v>0</v>
      </c>
      <c r="M595" s="89">
        <v>0</v>
      </c>
      <c r="N595" s="89"/>
      <c r="O595" s="89">
        <v>0</v>
      </c>
      <c r="P595" s="89">
        <v>0</v>
      </c>
      <c r="Q595" s="89">
        <v>0</v>
      </c>
      <c r="R595" s="89">
        <v>0</v>
      </c>
      <c r="S595" s="89">
        <v>22733.3009776</v>
      </c>
      <c r="T595"/>
      <c r="U595" t="s">
        <v>129</v>
      </c>
      <c r="V595" t="s">
        <v>129</v>
      </c>
      <c r="Y595" t="s">
        <v>283</v>
      </c>
      <c r="Z595" t="s">
        <v>131</v>
      </c>
      <c r="AA595" s="90">
        <v>92123</v>
      </c>
      <c r="AB595" t="s">
        <v>1183</v>
      </c>
      <c r="AC595" t="s">
        <v>0</v>
      </c>
      <c r="AD595" t="s">
        <v>143</v>
      </c>
    </row>
    <row r="596" spans="2:30" x14ac:dyDescent="0.25">
      <c r="B596">
        <v>104203</v>
      </c>
      <c r="C596" t="s">
        <v>1184</v>
      </c>
      <c r="D596">
        <v>2016</v>
      </c>
      <c r="F596" s="89">
        <v>6197.2555399827297</v>
      </c>
      <c r="G596" s="89" t="s">
        <v>128</v>
      </c>
      <c r="H596" s="89"/>
      <c r="I596" s="89">
        <v>0</v>
      </c>
      <c r="J596" s="89">
        <v>0</v>
      </c>
      <c r="K596" s="89">
        <v>0</v>
      </c>
      <c r="L596" s="89">
        <v>0</v>
      </c>
      <c r="M596" s="89">
        <v>6197.2555399827297</v>
      </c>
      <c r="N596" s="89"/>
      <c r="O596" s="89">
        <v>0</v>
      </c>
      <c r="P596" s="89">
        <v>0</v>
      </c>
      <c r="Q596" s="89">
        <v>5950.7275399827304</v>
      </c>
      <c r="R596" s="89">
        <v>5950.7275399827304</v>
      </c>
      <c r="S596" s="89">
        <v>246.52799999999999</v>
      </c>
      <c r="T596"/>
      <c r="U596" t="s">
        <v>155</v>
      </c>
      <c r="V596" t="s">
        <v>129</v>
      </c>
      <c r="W596" t="s">
        <v>1076</v>
      </c>
      <c r="Y596" t="s">
        <v>1185</v>
      </c>
      <c r="Z596" t="s">
        <v>1186</v>
      </c>
      <c r="AA596" s="90">
        <v>58504</v>
      </c>
      <c r="AB596" t="s">
        <v>158</v>
      </c>
      <c r="AC596" t="s">
        <v>136</v>
      </c>
      <c r="AD596" t="s">
        <v>137</v>
      </c>
    </row>
    <row r="597" spans="2:30" x14ac:dyDescent="0.25">
      <c r="B597">
        <v>3054</v>
      </c>
      <c r="C597" t="s">
        <v>1187</v>
      </c>
      <c r="D597">
        <v>2016</v>
      </c>
      <c r="F597" s="89">
        <v>0</v>
      </c>
      <c r="G597" s="89" t="s">
        <v>128</v>
      </c>
      <c r="H597" s="89"/>
      <c r="I597" s="89">
        <v>0</v>
      </c>
      <c r="J597" s="89">
        <v>0</v>
      </c>
      <c r="K597" s="89">
        <v>0</v>
      </c>
      <c r="L597" s="89">
        <v>0</v>
      </c>
      <c r="M597" s="89">
        <v>0</v>
      </c>
      <c r="N597" s="89"/>
      <c r="O597" s="89">
        <v>0</v>
      </c>
      <c r="P597" s="89">
        <v>0</v>
      </c>
      <c r="Q597" s="89">
        <v>0</v>
      </c>
      <c r="R597" s="89">
        <v>0</v>
      </c>
      <c r="S597" s="89">
        <v>0</v>
      </c>
      <c r="T597"/>
      <c r="U597" t="s">
        <v>129</v>
      </c>
      <c r="V597" t="s">
        <v>129</v>
      </c>
      <c r="Y597" t="s">
        <v>693</v>
      </c>
      <c r="Z597" t="s">
        <v>131</v>
      </c>
      <c r="AA597" s="90">
        <v>91730</v>
      </c>
      <c r="AB597" t="s">
        <v>158</v>
      </c>
      <c r="AC597" t="s">
        <v>136</v>
      </c>
      <c r="AD597" t="s">
        <v>137</v>
      </c>
    </row>
    <row r="598" spans="2:30" x14ac:dyDescent="0.25">
      <c r="B598">
        <v>3055</v>
      </c>
      <c r="C598" t="s">
        <v>1188</v>
      </c>
      <c r="D598">
        <v>2016</v>
      </c>
      <c r="F598" s="89">
        <v>143285.12577000001</v>
      </c>
      <c r="G598" s="89" t="s">
        <v>128</v>
      </c>
      <c r="H598" s="89"/>
      <c r="I598" s="89">
        <v>0</v>
      </c>
      <c r="J598" s="89">
        <v>0</v>
      </c>
      <c r="K598" s="89">
        <v>0</v>
      </c>
      <c r="L598" s="89">
        <v>0</v>
      </c>
      <c r="M598" s="89">
        <v>143285.12577000001</v>
      </c>
      <c r="N598" s="89"/>
      <c r="O598" s="89">
        <v>0</v>
      </c>
      <c r="P598" s="89">
        <v>0</v>
      </c>
      <c r="Q598" s="89">
        <v>100091.79377</v>
      </c>
      <c r="R598" s="89">
        <v>100091.79377</v>
      </c>
      <c r="S598" s="89">
        <v>43193.332000000002</v>
      </c>
      <c r="T598"/>
      <c r="U598" t="s">
        <v>155</v>
      </c>
      <c r="V598" t="s">
        <v>129</v>
      </c>
      <c r="W598" t="s">
        <v>156</v>
      </c>
      <c r="Y598" t="s">
        <v>866</v>
      </c>
      <c r="Z598" t="s">
        <v>131</v>
      </c>
      <c r="AA598" s="90">
        <v>96002</v>
      </c>
      <c r="AB598" t="s">
        <v>158</v>
      </c>
      <c r="AC598" t="s">
        <v>136</v>
      </c>
      <c r="AD598" t="s">
        <v>137</v>
      </c>
    </row>
    <row r="599" spans="2:30" x14ac:dyDescent="0.25">
      <c r="B599">
        <v>100256</v>
      </c>
      <c r="C599" t="s">
        <v>1189</v>
      </c>
      <c r="D599">
        <v>2016</v>
      </c>
      <c r="F599" s="89">
        <v>141777.69439721099</v>
      </c>
      <c r="G599" s="89" t="s">
        <v>128</v>
      </c>
      <c r="H599" s="89"/>
      <c r="I599" s="89">
        <v>141777.69439721099</v>
      </c>
      <c r="J599" s="89">
        <v>0</v>
      </c>
      <c r="K599" s="89">
        <v>0</v>
      </c>
      <c r="L599" s="89">
        <v>0</v>
      </c>
      <c r="M599" s="89">
        <v>0</v>
      </c>
      <c r="N599" s="89"/>
      <c r="O599" s="89">
        <v>141777.69439721099</v>
      </c>
      <c r="P599" s="89">
        <v>0</v>
      </c>
      <c r="Q599" s="89">
        <v>0</v>
      </c>
      <c r="R599" s="89">
        <v>141777.69439721099</v>
      </c>
      <c r="S599" s="89">
        <v>0</v>
      </c>
      <c r="T599"/>
      <c r="U599" t="s">
        <v>155</v>
      </c>
      <c r="V599" t="s">
        <v>129</v>
      </c>
      <c r="W599" t="s">
        <v>156</v>
      </c>
      <c r="Y599" t="s">
        <v>866</v>
      </c>
      <c r="Z599" t="s">
        <v>131</v>
      </c>
      <c r="AA599" s="90">
        <v>96001</v>
      </c>
      <c r="AB599" t="s">
        <v>132</v>
      </c>
      <c r="AC599" t="s">
        <v>385</v>
      </c>
      <c r="AD599" t="s">
        <v>140</v>
      </c>
    </row>
    <row r="600" spans="2:30" x14ac:dyDescent="0.25">
      <c r="B600">
        <v>104560</v>
      </c>
      <c r="C600" t="s">
        <v>1190</v>
      </c>
      <c r="D600">
        <v>2016</v>
      </c>
      <c r="F600" s="89">
        <v>140959.443872</v>
      </c>
      <c r="G600" s="89" t="s">
        <v>128</v>
      </c>
      <c r="H600" s="89"/>
      <c r="I600" s="89">
        <v>0</v>
      </c>
      <c r="J600" s="89">
        <v>0</v>
      </c>
      <c r="K600" s="89">
        <v>120.546272</v>
      </c>
      <c r="L600" s="89">
        <v>140838.8976</v>
      </c>
      <c r="M600" s="89">
        <v>0</v>
      </c>
      <c r="N600" s="89"/>
      <c r="O600" s="89">
        <v>0</v>
      </c>
      <c r="P600" s="89">
        <v>0</v>
      </c>
      <c r="Q600" s="89">
        <v>0</v>
      </c>
      <c r="R600" s="89">
        <v>0</v>
      </c>
      <c r="S600" s="89">
        <v>140959.443872</v>
      </c>
      <c r="T600"/>
      <c r="U600" t="s">
        <v>155</v>
      </c>
      <c r="V600" t="s">
        <v>129</v>
      </c>
      <c r="W600" t="s">
        <v>215</v>
      </c>
      <c r="Y600" t="s">
        <v>1191</v>
      </c>
      <c r="Z600" t="s">
        <v>1192</v>
      </c>
      <c r="AA600" s="90">
        <v>50010</v>
      </c>
      <c r="AB600" t="s">
        <v>195</v>
      </c>
      <c r="AC600" t="s">
        <v>147</v>
      </c>
      <c r="AD600" t="s">
        <v>148</v>
      </c>
    </row>
    <row r="601" spans="2:30" x14ac:dyDescent="0.25">
      <c r="B601">
        <v>104198</v>
      </c>
      <c r="C601" t="s">
        <v>1193</v>
      </c>
      <c r="D601">
        <v>2016</v>
      </c>
      <c r="F601" s="89">
        <v>14766.5197632</v>
      </c>
      <c r="G601" s="89" t="s">
        <v>128</v>
      </c>
      <c r="H601" s="89"/>
      <c r="I601" s="89">
        <v>14766.5197632</v>
      </c>
      <c r="J601" s="89">
        <v>0</v>
      </c>
      <c r="K601" s="89">
        <v>0</v>
      </c>
      <c r="L601" s="89">
        <v>0</v>
      </c>
      <c r="M601" s="89">
        <v>0</v>
      </c>
      <c r="N601" s="89"/>
      <c r="O601" s="89">
        <v>0</v>
      </c>
      <c r="P601" s="89">
        <v>0</v>
      </c>
      <c r="Q601" s="89">
        <v>0</v>
      </c>
      <c r="R601" s="89">
        <v>0</v>
      </c>
      <c r="S601" s="89">
        <v>14766.5197632</v>
      </c>
      <c r="T601"/>
      <c r="U601" t="s">
        <v>129</v>
      </c>
      <c r="V601" t="s">
        <v>129</v>
      </c>
      <c r="Z601"/>
      <c r="AB601" t="s">
        <v>304</v>
      </c>
      <c r="AC601" t="s">
        <v>0</v>
      </c>
      <c r="AD601" t="s">
        <v>143</v>
      </c>
    </row>
    <row r="602" spans="2:30" x14ac:dyDescent="0.25">
      <c r="B602">
        <v>100265</v>
      </c>
      <c r="C602" t="s">
        <v>1194</v>
      </c>
      <c r="D602">
        <v>2016</v>
      </c>
      <c r="F602" s="89">
        <v>263740.09471999999</v>
      </c>
      <c r="G602" s="89" t="s">
        <v>128</v>
      </c>
      <c r="H602" s="89"/>
      <c r="I602" s="89">
        <v>6326.0947200000001</v>
      </c>
      <c r="J602" s="89">
        <v>257414</v>
      </c>
      <c r="K602" s="89">
        <v>0</v>
      </c>
      <c r="L602" s="89">
        <v>0</v>
      </c>
      <c r="M602" s="89">
        <v>0</v>
      </c>
      <c r="N602" s="89"/>
      <c r="O602" s="89">
        <v>0</v>
      </c>
      <c r="P602" s="89">
        <v>0</v>
      </c>
      <c r="Q602" s="89">
        <v>0</v>
      </c>
      <c r="R602" s="89">
        <v>0</v>
      </c>
      <c r="S602" s="89">
        <v>263740.09471999999</v>
      </c>
      <c r="T602"/>
      <c r="U602" t="s">
        <v>155</v>
      </c>
      <c r="V602" t="s">
        <v>129</v>
      </c>
      <c r="W602" t="s">
        <v>337</v>
      </c>
      <c r="Y602" t="s">
        <v>395</v>
      </c>
      <c r="Z602" t="s">
        <v>131</v>
      </c>
      <c r="AA602" s="90">
        <v>93725</v>
      </c>
      <c r="AB602" t="s">
        <v>241</v>
      </c>
      <c r="AC602" t="s">
        <v>0</v>
      </c>
      <c r="AD602" t="s">
        <v>140</v>
      </c>
    </row>
    <row r="603" spans="2:30" x14ac:dyDescent="0.25">
      <c r="B603">
        <v>100055</v>
      </c>
      <c r="C603" t="s">
        <v>1195</v>
      </c>
      <c r="D603">
        <v>2016</v>
      </c>
      <c r="F603" s="89">
        <v>277174.87329199997</v>
      </c>
      <c r="G603" s="89" t="s">
        <v>128</v>
      </c>
      <c r="H603" s="89"/>
      <c r="I603" s="89">
        <v>5708.8732920000002</v>
      </c>
      <c r="J603" s="89">
        <v>271466</v>
      </c>
      <c r="K603" s="89">
        <v>0</v>
      </c>
      <c r="L603" s="89">
        <v>0</v>
      </c>
      <c r="M603" s="89">
        <v>0</v>
      </c>
      <c r="N603" s="89"/>
      <c r="O603" s="89">
        <v>0</v>
      </c>
      <c r="P603" s="89">
        <v>0</v>
      </c>
      <c r="Q603" s="89">
        <v>0</v>
      </c>
      <c r="R603" s="89">
        <v>0</v>
      </c>
      <c r="S603" s="89">
        <v>277174.87329199997</v>
      </c>
      <c r="T603"/>
      <c r="U603" t="s">
        <v>155</v>
      </c>
      <c r="V603" t="s">
        <v>129</v>
      </c>
      <c r="W603" t="s">
        <v>337</v>
      </c>
      <c r="Y603" t="s">
        <v>686</v>
      </c>
      <c r="Z603" t="s">
        <v>131</v>
      </c>
      <c r="AA603" s="90">
        <v>95648</v>
      </c>
      <c r="AB603" t="s">
        <v>241</v>
      </c>
      <c r="AC603" t="s">
        <v>0</v>
      </c>
      <c r="AD603" t="s">
        <v>140</v>
      </c>
    </row>
    <row r="604" spans="2:30" x14ac:dyDescent="0.25">
      <c r="B604">
        <v>104691</v>
      </c>
      <c r="C604" t="s">
        <v>1196</v>
      </c>
      <c r="D604">
        <v>2016</v>
      </c>
      <c r="F604" s="89">
        <v>10491.1615088</v>
      </c>
      <c r="G604" s="89" t="s">
        <v>128</v>
      </c>
      <c r="H604" s="89"/>
      <c r="I604" s="89">
        <v>10491.1615088</v>
      </c>
      <c r="J604" s="89">
        <v>0</v>
      </c>
      <c r="K604" s="89">
        <v>0</v>
      </c>
      <c r="L604" s="89">
        <v>0</v>
      </c>
      <c r="M604" s="89">
        <v>0</v>
      </c>
      <c r="N604" s="89"/>
      <c r="O604" s="89">
        <v>0</v>
      </c>
      <c r="P604" s="89">
        <v>0</v>
      </c>
      <c r="Q604" s="89">
        <v>0</v>
      </c>
      <c r="R604" s="89">
        <v>0</v>
      </c>
      <c r="S604" s="89">
        <v>10491.1615088</v>
      </c>
      <c r="T604"/>
      <c r="U604" t="s">
        <v>129</v>
      </c>
      <c r="V604" t="s">
        <v>129</v>
      </c>
      <c r="Y604" t="s">
        <v>211</v>
      </c>
      <c r="Z604" t="s">
        <v>131</v>
      </c>
      <c r="AA604" s="90">
        <v>90744</v>
      </c>
      <c r="AB604" t="s">
        <v>512</v>
      </c>
      <c r="AC604" t="s">
        <v>0</v>
      </c>
      <c r="AD604" t="s">
        <v>143</v>
      </c>
    </row>
    <row r="605" spans="2:30" x14ac:dyDescent="0.25">
      <c r="B605">
        <v>104056</v>
      </c>
      <c r="C605" t="s">
        <v>1197</v>
      </c>
      <c r="D605">
        <v>2016</v>
      </c>
      <c r="F605" s="89">
        <v>547570.21658400004</v>
      </c>
      <c r="G605" s="89" t="s">
        <v>128</v>
      </c>
      <c r="H605" s="89"/>
      <c r="I605" s="89">
        <v>0</v>
      </c>
      <c r="J605" s="89">
        <v>0</v>
      </c>
      <c r="K605" s="89">
        <v>524267.05088400003</v>
      </c>
      <c r="L605" s="89">
        <v>23303.165700000001</v>
      </c>
      <c r="M605" s="89">
        <v>0</v>
      </c>
      <c r="N605" s="89"/>
      <c r="O605" s="89">
        <v>0</v>
      </c>
      <c r="P605" s="89">
        <v>524267.05088400003</v>
      </c>
      <c r="Q605" s="89">
        <v>0</v>
      </c>
      <c r="R605" s="89">
        <v>524267.05088400003</v>
      </c>
      <c r="S605" s="89">
        <v>23303.165700000001</v>
      </c>
      <c r="T605"/>
      <c r="U605" t="s">
        <v>155</v>
      </c>
      <c r="V605" t="s">
        <v>129</v>
      </c>
      <c r="W605" t="s">
        <v>277</v>
      </c>
      <c r="Y605" t="s">
        <v>134</v>
      </c>
      <c r="Z605" t="s">
        <v>131</v>
      </c>
      <c r="AA605" s="90">
        <v>95834</v>
      </c>
      <c r="AB605" t="s">
        <v>146</v>
      </c>
      <c r="AC605" t="s">
        <v>147</v>
      </c>
      <c r="AD605" t="s">
        <v>148</v>
      </c>
    </row>
    <row r="606" spans="2:30" x14ac:dyDescent="0.25">
      <c r="B606">
        <v>100387</v>
      </c>
      <c r="C606" t="s">
        <v>1198</v>
      </c>
      <c r="D606">
        <v>2016</v>
      </c>
      <c r="F606" s="89">
        <v>10967.010367999999</v>
      </c>
      <c r="G606" s="89" t="s">
        <v>128</v>
      </c>
      <c r="H606" s="89"/>
      <c r="I606" s="89">
        <v>10967.010367999999</v>
      </c>
      <c r="J606" s="89">
        <v>0</v>
      </c>
      <c r="K606" s="89">
        <v>0</v>
      </c>
      <c r="L606" s="89">
        <v>0</v>
      </c>
      <c r="M606" s="89">
        <v>0</v>
      </c>
      <c r="N606" s="89"/>
      <c r="O606" s="89">
        <v>0</v>
      </c>
      <c r="P606" s="89">
        <v>0</v>
      </c>
      <c r="Q606" s="89">
        <v>0</v>
      </c>
      <c r="R606" s="89">
        <v>0</v>
      </c>
      <c r="S606" s="89">
        <v>10967.010367999999</v>
      </c>
      <c r="T606"/>
      <c r="U606" t="s">
        <v>155</v>
      </c>
      <c r="V606" t="s">
        <v>129</v>
      </c>
      <c r="W606" t="s">
        <v>197</v>
      </c>
      <c r="Y606" t="s">
        <v>160</v>
      </c>
      <c r="Z606" t="s">
        <v>131</v>
      </c>
      <c r="AA606" s="90">
        <v>92880</v>
      </c>
      <c r="AB606" t="s">
        <v>132</v>
      </c>
      <c r="AC606" t="s">
        <v>0</v>
      </c>
      <c r="AD606" t="s">
        <v>140</v>
      </c>
    </row>
    <row r="607" spans="2:30" x14ac:dyDescent="0.25">
      <c r="B607">
        <v>100392</v>
      </c>
      <c r="C607" t="s">
        <v>1199</v>
      </c>
      <c r="D607">
        <v>2016</v>
      </c>
      <c r="F607" s="89">
        <v>39384.9522</v>
      </c>
      <c r="G607" s="89" t="s">
        <v>128</v>
      </c>
      <c r="H607" s="89"/>
      <c r="I607" s="89">
        <v>39384.9522</v>
      </c>
      <c r="J607" s="89">
        <v>0</v>
      </c>
      <c r="K607" s="89">
        <v>0</v>
      </c>
      <c r="L607" s="89">
        <v>0</v>
      </c>
      <c r="M607" s="89">
        <v>0</v>
      </c>
      <c r="N607" s="89"/>
      <c r="O607" s="89">
        <v>39384.9522</v>
      </c>
      <c r="P607" s="89">
        <v>0</v>
      </c>
      <c r="Q607" s="89">
        <v>0</v>
      </c>
      <c r="R607" s="89">
        <v>39384.9522</v>
      </c>
      <c r="S607" s="89">
        <v>0</v>
      </c>
      <c r="T607"/>
      <c r="U607" t="s">
        <v>155</v>
      </c>
      <c r="V607" t="s">
        <v>129</v>
      </c>
      <c r="W607" t="s">
        <v>197</v>
      </c>
      <c r="Y607" t="s">
        <v>553</v>
      </c>
      <c r="Z607" t="s">
        <v>131</v>
      </c>
      <c r="AA607" s="90">
        <v>92504</v>
      </c>
      <c r="AB607" t="s">
        <v>132</v>
      </c>
      <c r="AC607" t="s">
        <v>1</v>
      </c>
      <c r="AD607" t="s">
        <v>140</v>
      </c>
    </row>
    <row r="608" spans="2:30" x14ac:dyDescent="0.25">
      <c r="B608">
        <v>104037</v>
      </c>
      <c r="C608" t="s">
        <v>1200</v>
      </c>
      <c r="D608">
        <v>2016</v>
      </c>
      <c r="F608" s="89">
        <v>275386.29759899899</v>
      </c>
      <c r="G608" s="89" t="s">
        <v>128</v>
      </c>
      <c r="H608" s="89"/>
      <c r="I608" s="89">
        <v>0</v>
      </c>
      <c r="J608" s="89">
        <v>0</v>
      </c>
      <c r="K608" s="89">
        <v>259505.924598999</v>
      </c>
      <c r="L608" s="89">
        <v>15880.373</v>
      </c>
      <c r="M608" s="89">
        <v>0</v>
      </c>
      <c r="N608" s="89"/>
      <c r="O608" s="89">
        <v>0</v>
      </c>
      <c r="P608" s="89">
        <v>259505.924598999</v>
      </c>
      <c r="Q608" s="89">
        <v>0</v>
      </c>
      <c r="R608" s="89">
        <v>259505.924598999</v>
      </c>
      <c r="S608" s="89">
        <v>15880.373</v>
      </c>
      <c r="T608"/>
      <c r="U608" t="s">
        <v>155</v>
      </c>
      <c r="V608" t="s">
        <v>129</v>
      </c>
      <c r="W608" t="s">
        <v>368</v>
      </c>
      <c r="Y608" t="s">
        <v>413</v>
      </c>
      <c r="Z608" t="s">
        <v>131</v>
      </c>
      <c r="AA608" s="90">
        <v>95050</v>
      </c>
      <c r="AB608" t="s">
        <v>146</v>
      </c>
      <c r="AC608" t="s">
        <v>147</v>
      </c>
      <c r="AD608" t="s">
        <v>148</v>
      </c>
    </row>
    <row r="609" spans="2:30" x14ac:dyDescent="0.25">
      <c r="B609">
        <v>100196</v>
      </c>
      <c r="C609" t="s">
        <v>1201</v>
      </c>
      <c r="D609">
        <v>2016</v>
      </c>
      <c r="F609" s="89">
        <v>14979.485549553499</v>
      </c>
      <c r="G609" s="89" t="s">
        <v>128</v>
      </c>
      <c r="H609" s="89"/>
      <c r="I609" s="89">
        <v>14979.485549553499</v>
      </c>
      <c r="J609" s="89">
        <v>0</v>
      </c>
      <c r="K609" s="89">
        <v>0</v>
      </c>
      <c r="L609" s="89">
        <v>0</v>
      </c>
      <c r="M609" s="89">
        <v>0</v>
      </c>
      <c r="N609" s="89"/>
      <c r="O609" s="89">
        <v>0</v>
      </c>
      <c r="P609" s="89">
        <v>0</v>
      </c>
      <c r="Q609" s="89">
        <v>0</v>
      </c>
      <c r="R609" s="89">
        <v>0</v>
      </c>
      <c r="S609" s="89">
        <v>14979.485549553499</v>
      </c>
      <c r="T609"/>
      <c r="U609" t="s">
        <v>129</v>
      </c>
      <c r="V609" t="s">
        <v>129</v>
      </c>
      <c r="Y609" t="s">
        <v>1073</v>
      </c>
      <c r="Z609" t="s">
        <v>131</v>
      </c>
      <c r="AA609" s="90">
        <v>91910</v>
      </c>
      <c r="AB609" t="s">
        <v>1202</v>
      </c>
      <c r="AC609" t="s">
        <v>0</v>
      </c>
      <c r="AD609" t="s">
        <v>143</v>
      </c>
    </row>
    <row r="610" spans="2:30" x14ac:dyDescent="0.25">
      <c r="B610">
        <v>101702</v>
      </c>
      <c r="C610" t="s">
        <v>1203</v>
      </c>
      <c r="D610">
        <v>2016</v>
      </c>
      <c r="F610" s="89">
        <v>146585.211070914</v>
      </c>
      <c r="G610" s="89" t="s">
        <v>128</v>
      </c>
      <c r="H610" s="89"/>
      <c r="I610" s="89">
        <v>3987.1110709139998</v>
      </c>
      <c r="J610" s="89">
        <v>142598.1</v>
      </c>
      <c r="K610" s="89">
        <v>0</v>
      </c>
      <c r="L610" s="89">
        <v>0</v>
      </c>
      <c r="M610" s="89">
        <v>0</v>
      </c>
      <c r="N610" s="89"/>
      <c r="O610" s="89">
        <v>0</v>
      </c>
      <c r="P610" s="89">
        <v>0</v>
      </c>
      <c r="Q610" s="89">
        <v>0</v>
      </c>
      <c r="R610" s="89">
        <v>0</v>
      </c>
      <c r="S610" s="89">
        <v>146585.211070914</v>
      </c>
      <c r="T610"/>
      <c r="U610" t="s">
        <v>155</v>
      </c>
      <c r="V610" t="s">
        <v>129</v>
      </c>
      <c r="W610" t="s">
        <v>156</v>
      </c>
      <c r="Y610" t="s">
        <v>1204</v>
      </c>
      <c r="Z610" t="s">
        <v>131</v>
      </c>
      <c r="AA610" s="90">
        <v>96094</v>
      </c>
      <c r="AB610" t="s">
        <v>1205</v>
      </c>
      <c r="AC610" t="s">
        <v>0</v>
      </c>
      <c r="AD610" t="s">
        <v>143</v>
      </c>
    </row>
    <row r="611" spans="2:30" x14ac:dyDescent="0.25">
      <c r="B611">
        <v>3057</v>
      </c>
      <c r="C611" t="s">
        <v>1206</v>
      </c>
      <c r="D611">
        <v>2016</v>
      </c>
      <c r="F611" s="89">
        <v>14749.816573055599</v>
      </c>
      <c r="G611" s="89" t="s">
        <v>128</v>
      </c>
      <c r="H611" s="89"/>
      <c r="I611" s="89">
        <v>0</v>
      </c>
      <c r="J611" s="89">
        <v>0</v>
      </c>
      <c r="K611" s="89">
        <v>0</v>
      </c>
      <c r="L611" s="89">
        <v>0</v>
      </c>
      <c r="M611" s="89">
        <v>14749.816573055599</v>
      </c>
      <c r="N611" s="89"/>
      <c r="O611" s="89">
        <v>0</v>
      </c>
      <c r="P611" s="89">
        <v>0</v>
      </c>
      <c r="Q611" s="89">
        <v>14749.816573055599</v>
      </c>
      <c r="R611" s="89">
        <v>14749.816573055599</v>
      </c>
      <c r="S611" s="89">
        <v>0</v>
      </c>
      <c r="T611"/>
      <c r="U611" t="s">
        <v>155</v>
      </c>
      <c r="V611" t="s">
        <v>129</v>
      </c>
      <c r="W611" t="s">
        <v>156</v>
      </c>
      <c r="Y611" t="s">
        <v>1033</v>
      </c>
      <c r="Z611" t="s">
        <v>131</v>
      </c>
      <c r="AA611" s="90">
        <v>95747</v>
      </c>
      <c r="AB611" t="s">
        <v>158</v>
      </c>
      <c r="AC611" t="s">
        <v>136</v>
      </c>
      <c r="AD611" t="s">
        <v>137</v>
      </c>
    </row>
    <row r="612" spans="2:30" x14ac:dyDescent="0.25">
      <c r="B612">
        <v>101270</v>
      </c>
      <c r="C612" t="s">
        <v>1207</v>
      </c>
      <c r="D612">
        <v>2016</v>
      </c>
      <c r="F612" s="89">
        <v>165744.07879371999</v>
      </c>
      <c r="G612" s="89" t="s">
        <v>128</v>
      </c>
      <c r="H612" s="89"/>
      <c r="I612" s="89">
        <v>165744.07879371999</v>
      </c>
      <c r="J612" s="89">
        <v>0</v>
      </c>
      <c r="K612" s="89">
        <v>0</v>
      </c>
      <c r="L612" s="89">
        <v>0</v>
      </c>
      <c r="M612" s="89">
        <v>0</v>
      </c>
      <c r="N612" s="89"/>
      <c r="O612" s="89">
        <v>165744.07879371999</v>
      </c>
      <c r="P612" s="89">
        <v>0</v>
      </c>
      <c r="Q612" s="89">
        <v>0</v>
      </c>
      <c r="R612" s="89">
        <v>165744.07879371999</v>
      </c>
      <c r="S612" s="89">
        <v>0</v>
      </c>
      <c r="T612"/>
      <c r="U612" t="s">
        <v>155</v>
      </c>
      <c r="V612" t="s">
        <v>129</v>
      </c>
      <c r="W612" t="s">
        <v>156</v>
      </c>
      <c r="Y612" t="s">
        <v>1033</v>
      </c>
      <c r="Z612" t="s">
        <v>131</v>
      </c>
      <c r="AA612" s="90">
        <v>95747</v>
      </c>
      <c r="AB612" t="s">
        <v>132</v>
      </c>
      <c r="AC612" t="s">
        <v>1</v>
      </c>
      <c r="AD612" t="s">
        <v>140</v>
      </c>
    </row>
    <row r="613" spans="2:30" x14ac:dyDescent="0.25">
      <c r="B613">
        <v>104552</v>
      </c>
      <c r="C613" t="s">
        <v>1208</v>
      </c>
      <c r="D613">
        <v>2016</v>
      </c>
      <c r="F613" s="89">
        <v>7707.0530609999996</v>
      </c>
      <c r="G613" s="89" t="s">
        <v>128</v>
      </c>
      <c r="H613" s="89"/>
      <c r="I613" s="89">
        <v>0</v>
      </c>
      <c r="J613" s="89">
        <v>0</v>
      </c>
      <c r="K613" s="89">
        <v>280.47446100000002</v>
      </c>
      <c r="L613" s="89">
        <v>7426.5785999999998</v>
      </c>
      <c r="M613" s="89">
        <v>0</v>
      </c>
      <c r="N613" s="89"/>
      <c r="O613" s="89">
        <v>0</v>
      </c>
      <c r="P613" s="89">
        <v>0</v>
      </c>
      <c r="Q613" s="89">
        <v>0</v>
      </c>
      <c r="R613" s="89">
        <v>0</v>
      </c>
      <c r="S613" s="89">
        <v>7707.0530609999996</v>
      </c>
      <c r="T613"/>
      <c r="U613" t="s">
        <v>129</v>
      </c>
      <c r="V613" t="s">
        <v>129</v>
      </c>
      <c r="Y613" t="s">
        <v>283</v>
      </c>
      <c r="Z613" t="s">
        <v>131</v>
      </c>
      <c r="AA613" s="90">
        <v>92106</v>
      </c>
      <c r="AB613" t="s">
        <v>146</v>
      </c>
      <c r="AC613" t="s">
        <v>147</v>
      </c>
      <c r="AD613" t="s">
        <v>148</v>
      </c>
    </row>
    <row r="614" spans="2:30" x14ac:dyDescent="0.25">
      <c r="B614">
        <v>3058</v>
      </c>
      <c r="C614" t="s">
        <v>1209</v>
      </c>
      <c r="D614">
        <v>2016</v>
      </c>
      <c r="F614" s="89">
        <v>717877.75960852799</v>
      </c>
      <c r="G614" s="89" t="s">
        <v>128</v>
      </c>
      <c r="H614" s="89"/>
      <c r="I614" s="89">
        <v>0</v>
      </c>
      <c r="J614" s="89">
        <v>0</v>
      </c>
      <c r="K614" s="89">
        <v>0</v>
      </c>
      <c r="L614" s="89">
        <v>0</v>
      </c>
      <c r="M614" s="89">
        <v>717877.75960852799</v>
      </c>
      <c r="N614" s="89"/>
      <c r="O614" s="89">
        <v>0</v>
      </c>
      <c r="P614" s="89">
        <v>0</v>
      </c>
      <c r="Q614" s="89">
        <v>188915.88162885499</v>
      </c>
      <c r="R614" s="89">
        <v>188915.88162885499</v>
      </c>
      <c r="S614" s="89">
        <v>528961.87797967298</v>
      </c>
      <c r="T614"/>
      <c r="U614" t="s">
        <v>155</v>
      </c>
      <c r="V614" t="s">
        <v>129</v>
      </c>
      <c r="W614" t="s">
        <v>235</v>
      </c>
      <c r="Y614" t="s">
        <v>134</v>
      </c>
      <c r="Z614" t="s">
        <v>131</v>
      </c>
      <c r="AA614" s="90">
        <v>95817</v>
      </c>
      <c r="AB614" t="s">
        <v>381</v>
      </c>
      <c r="AC614" t="s">
        <v>136</v>
      </c>
      <c r="AD614" t="s">
        <v>137</v>
      </c>
    </row>
    <row r="615" spans="2:30" x14ac:dyDescent="0.25">
      <c r="B615">
        <v>104352</v>
      </c>
      <c r="C615" t="s">
        <v>1210</v>
      </c>
      <c r="D615">
        <v>2016</v>
      </c>
      <c r="F615" s="89">
        <v>2357474.13467868</v>
      </c>
      <c r="G615" s="89" t="s">
        <v>128</v>
      </c>
      <c r="H615" s="89"/>
      <c r="I615" s="89">
        <v>0</v>
      </c>
      <c r="J615" s="89">
        <v>0</v>
      </c>
      <c r="K615" s="89">
        <v>2327619.5381064001</v>
      </c>
      <c r="L615" s="89">
        <v>29854.596572279999</v>
      </c>
      <c r="M615" s="89">
        <v>0</v>
      </c>
      <c r="N615" s="89"/>
      <c r="O615" s="89">
        <v>0</v>
      </c>
      <c r="P615" s="89">
        <v>0</v>
      </c>
      <c r="Q615" s="89">
        <v>0</v>
      </c>
      <c r="R615" s="89">
        <v>0</v>
      </c>
      <c r="S615" s="89">
        <v>2357474.13467868</v>
      </c>
      <c r="T615"/>
      <c r="U615" t="s">
        <v>155</v>
      </c>
      <c r="V615" t="s">
        <v>129</v>
      </c>
      <c r="W615" t="s">
        <v>235</v>
      </c>
      <c r="Y615" t="s">
        <v>134</v>
      </c>
      <c r="Z615" t="s">
        <v>131</v>
      </c>
      <c r="AA615" s="90">
        <v>95817</v>
      </c>
      <c r="AB615" t="s">
        <v>381</v>
      </c>
      <c r="AC615" t="s">
        <v>259</v>
      </c>
      <c r="AD615" t="s">
        <v>260</v>
      </c>
    </row>
    <row r="616" spans="2:30" x14ac:dyDescent="0.25">
      <c r="B616">
        <v>100130</v>
      </c>
      <c r="C616" t="s">
        <v>1211</v>
      </c>
      <c r="D616">
        <v>2016</v>
      </c>
      <c r="F616" s="89">
        <v>194314.34412687999</v>
      </c>
      <c r="G616" s="89" t="s">
        <v>128</v>
      </c>
      <c r="H616" s="89"/>
      <c r="I616" s="89">
        <v>183436.69455687999</v>
      </c>
      <c r="J616" s="89">
        <v>10877.64957</v>
      </c>
      <c r="K616" s="89">
        <v>0</v>
      </c>
      <c r="L616" s="89">
        <v>0</v>
      </c>
      <c r="M616" s="89">
        <v>0</v>
      </c>
      <c r="N616" s="89"/>
      <c r="O616" s="89">
        <v>183436.69455687999</v>
      </c>
      <c r="P616" s="89">
        <v>0</v>
      </c>
      <c r="Q616" s="89">
        <v>0</v>
      </c>
      <c r="R616" s="89">
        <v>183436.69455687999</v>
      </c>
      <c r="S616" s="89">
        <v>10877.64957</v>
      </c>
      <c r="T616"/>
      <c r="U616" t="s">
        <v>155</v>
      </c>
      <c r="V616" t="s">
        <v>129</v>
      </c>
      <c r="W616" t="s">
        <v>235</v>
      </c>
      <c r="Y616" t="s">
        <v>226</v>
      </c>
      <c r="Z616" t="s">
        <v>131</v>
      </c>
      <c r="AA616" s="90">
        <v>95758</v>
      </c>
      <c r="AB616" t="s">
        <v>132</v>
      </c>
      <c r="AC616" t="s">
        <v>385</v>
      </c>
      <c r="AD616" t="s">
        <v>133</v>
      </c>
    </row>
    <row r="617" spans="2:30" x14ac:dyDescent="0.25">
      <c r="B617">
        <v>100365</v>
      </c>
      <c r="C617" t="s">
        <v>1212</v>
      </c>
      <c r="D617">
        <v>2016</v>
      </c>
      <c r="F617" s="89">
        <v>1474792.1655381001</v>
      </c>
      <c r="G617" s="89" t="s">
        <v>128</v>
      </c>
      <c r="H617" s="89"/>
      <c r="I617" s="89">
        <v>1274086.4655381001</v>
      </c>
      <c r="J617" s="89">
        <v>200705.7</v>
      </c>
      <c r="K617" s="89">
        <v>0</v>
      </c>
      <c r="L617" s="89">
        <v>0</v>
      </c>
      <c r="M617" s="89">
        <v>0</v>
      </c>
      <c r="N617" s="89"/>
      <c r="O617" s="89">
        <v>1274086.4655381001</v>
      </c>
      <c r="P617" s="89">
        <v>0</v>
      </c>
      <c r="Q617" s="89">
        <v>0</v>
      </c>
      <c r="R617" s="89">
        <v>1274086.4655381001</v>
      </c>
      <c r="S617" s="89">
        <v>200705.7</v>
      </c>
      <c r="T617"/>
      <c r="U617" t="s">
        <v>155</v>
      </c>
      <c r="V617" t="s">
        <v>129</v>
      </c>
      <c r="W617" t="s">
        <v>235</v>
      </c>
      <c r="Y617" t="s">
        <v>1213</v>
      </c>
      <c r="Z617" t="s">
        <v>131</v>
      </c>
      <c r="AA617" s="90">
        <v>95638</v>
      </c>
      <c r="AB617" t="s">
        <v>132</v>
      </c>
      <c r="AC617" t="s">
        <v>1</v>
      </c>
      <c r="AD617" t="s">
        <v>140</v>
      </c>
    </row>
    <row r="618" spans="2:30" x14ac:dyDescent="0.25">
      <c r="B618">
        <v>100252</v>
      </c>
      <c r="C618" t="s">
        <v>1214</v>
      </c>
      <c r="D618">
        <v>2016</v>
      </c>
      <c r="F618" s="89">
        <v>360440.823786158</v>
      </c>
      <c r="G618" s="89" t="s">
        <v>128</v>
      </c>
      <c r="H618" s="89"/>
      <c r="I618" s="89">
        <v>360440.823786158</v>
      </c>
      <c r="J618" s="89">
        <v>0</v>
      </c>
      <c r="K618" s="89">
        <v>0</v>
      </c>
      <c r="L618" s="89">
        <v>0</v>
      </c>
      <c r="M618" s="89">
        <v>0</v>
      </c>
      <c r="N618" s="89"/>
      <c r="O618" s="89">
        <v>360440.823786158</v>
      </c>
      <c r="P618" s="89">
        <v>0</v>
      </c>
      <c r="Q618" s="89">
        <v>0</v>
      </c>
      <c r="R618" s="89">
        <v>360440.823786158</v>
      </c>
      <c r="S618" s="89">
        <v>0</v>
      </c>
      <c r="T618"/>
      <c r="U618" t="s">
        <v>155</v>
      </c>
      <c r="V618" t="s">
        <v>129</v>
      </c>
      <c r="W618" t="s">
        <v>235</v>
      </c>
      <c r="Y618" t="s">
        <v>134</v>
      </c>
      <c r="Z618" t="s">
        <v>131</v>
      </c>
      <c r="AA618" s="90">
        <v>95826</v>
      </c>
      <c r="AB618" t="s">
        <v>132</v>
      </c>
      <c r="AC618" t="s">
        <v>385</v>
      </c>
      <c r="AD618" t="s">
        <v>133</v>
      </c>
    </row>
    <row r="619" spans="2:30" x14ac:dyDescent="0.25">
      <c r="B619">
        <v>100125</v>
      </c>
      <c r="C619" t="s">
        <v>1215</v>
      </c>
      <c r="D619">
        <v>2016</v>
      </c>
      <c r="F619" s="89">
        <v>375654.43809039303</v>
      </c>
      <c r="G619" s="89" t="s">
        <v>128</v>
      </c>
      <c r="H619" s="89"/>
      <c r="I619" s="89">
        <v>375654.43809039303</v>
      </c>
      <c r="J619" s="89">
        <v>0</v>
      </c>
      <c r="K619" s="89">
        <v>0</v>
      </c>
      <c r="L619" s="89">
        <v>0</v>
      </c>
      <c r="M619" s="89">
        <v>0</v>
      </c>
      <c r="N619" s="89"/>
      <c r="O619" s="89">
        <v>375654.43809039303</v>
      </c>
      <c r="P619" s="89">
        <v>0</v>
      </c>
      <c r="Q619" s="89">
        <v>0</v>
      </c>
      <c r="R619" s="89">
        <v>375654.43809039303</v>
      </c>
      <c r="S619" s="89">
        <v>0</v>
      </c>
      <c r="T619"/>
      <c r="U619" t="s">
        <v>155</v>
      </c>
      <c r="V619" t="s">
        <v>129</v>
      </c>
      <c r="W619" t="s">
        <v>235</v>
      </c>
      <c r="Y619" t="s">
        <v>134</v>
      </c>
      <c r="Z619" t="s">
        <v>131</v>
      </c>
      <c r="AA619" s="90">
        <v>95824</v>
      </c>
      <c r="AB619" t="s">
        <v>132</v>
      </c>
      <c r="AC619" t="s">
        <v>385</v>
      </c>
      <c r="AD619" t="s">
        <v>133</v>
      </c>
    </row>
    <row r="620" spans="2:30" x14ac:dyDescent="0.25">
      <c r="B620">
        <v>104632</v>
      </c>
      <c r="C620" t="s">
        <v>1216</v>
      </c>
      <c r="D620">
        <v>2016</v>
      </c>
      <c r="F620" s="89">
        <v>13539.7710976</v>
      </c>
      <c r="G620" s="89" t="s">
        <v>128</v>
      </c>
      <c r="H620" s="89"/>
      <c r="I620" s="89">
        <v>13539.551097600001</v>
      </c>
      <c r="J620" s="89">
        <v>0.22</v>
      </c>
      <c r="K620" s="89">
        <v>0</v>
      </c>
      <c r="L620" s="89">
        <v>0</v>
      </c>
      <c r="M620" s="89">
        <v>0</v>
      </c>
      <c r="N620" s="89"/>
      <c r="O620" s="89">
        <v>0</v>
      </c>
      <c r="P620" s="89">
        <v>0</v>
      </c>
      <c r="Q620" s="89">
        <v>0</v>
      </c>
      <c r="R620" s="89">
        <v>0</v>
      </c>
      <c r="S620" s="89">
        <v>13539.7710976</v>
      </c>
      <c r="T620"/>
      <c r="U620" t="s">
        <v>129</v>
      </c>
      <c r="V620" t="s">
        <v>129</v>
      </c>
      <c r="Y620" t="s">
        <v>134</v>
      </c>
      <c r="Z620" t="s">
        <v>131</v>
      </c>
      <c r="AA620" s="90">
        <v>95830</v>
      </c>
      <c r="AB620" t="s">
        <v>316</v>
      </c>
      <c r="AC620" t="s">
        <v>0</v>
      </c>
      <c r="AD620" t="s">
        <v>143</v>
      </c>
    </row>
    <row r="621" spans="2:30" x14ac:dyDescent="0.25">
      <c r="B621">
        <v>101035</v>
      </c>
      <c r="C621" t="s">
        <v>1217</v>
      </c>
      <c r="D621">
        <v>2016</v>
      </c>
      <c r="F621" s="89">
        <v>11545.086513599999</v>
      </c>
      <c r="G621" s="89" t="s">
        <v>128</v>
      </c>
      <c r="H621" s="89"/>
      <c r="I621" s="89">
        <v>11545.086513599999</v>
      </c>
      <c r="J621" s="89">
        <v>0</v>
      </c>
      <c r="K621" s="89">
        <v>0</v>
      </c>
      <c r="L621" s="89">
        <v>0</v>
      </c>
      <c r="M621" s="89">
        <v>0</v>
      </c>
      <c r="N621" s="89"/>
      <c r="O621" s="89">
        <v>0</v>
      </c>
      <c r="P621" s="89">
        <v>0</v>
      </c>
      <c r="Q621" s="89">
        <v>0</v>
      </c>
      <c r="R621" s="89">
        <v>0</v>
      </c>
      <c r="S621" s="89">
        <v>11545.086513599999</v>
      </c>
      <c r="T621"/>
      <c r="U621" t="s">
        <v>129</v>
      </c>
      <c r="V621" t="s">
        <v>129</v>
      </c>
      <c r="Y621" t="s">
        <v>494</v>
      </c>
      <c r="Z621" t="s">
        <v>131</v>
      </c>
      <c r="AA621" s="90">
        <v>94560</v>
      </c>
      <c r="AB621" t="s">
        <v>1218</v>
      </c>
      <c r="AC621" t="s">
        <v>0</v>
      </c>
      <c r="AD621" t="s">
        <v>143</v>
      </c>
    </row>
    <row r="622" spans="2:30" x14ac:dyDescent="0.25">
      <c r="B622">
        <v>104357</v>
      </c>
      <c r="C622" t="s">
        <v>1219</v>
      </c>
      <c r="D622">
        <v>2016</v>
      </c>
      <c r="F622" s="89">
        <v>21780.271152000001</v>
      </c>
      <c r="G622" s="89" t="s">
        <v>128</v>
      </c>
      <c r="H622" s="89"/>
      <c r="I622" s="89">
        <v>21780.271152000001</v>
      </c>
      <c r="J622" s="89">
        <v>0</v>
      </c>
      <c r="K622" s="89">
        <v>0</v>
      </c>
      <c r="L622" s="89">
        <v>0</v>
      </c>
      <c r="M622" s="89">
        <v>0</v>
      </c>
      <c r="N622" s="89"/>
      <c r="O622" s="89">
        <v>0</v>
      </c>
      <c r="P622" s="89">
        <v>0</v>
      </c>
      <c r="Q622" s="89">
        <v>0</v>
      </c>
      <c r="R622" s="89">
        <v>0</v>
      </c>
      <c r="S622" s="89">
        <v>21780.271152000001</v>
      </c>
      <c r="T622"/>
      <c r="U622" t="s">
        <v>129</v>
      </c>
      <c r="V622" t="s">
        <v>129</v>
      </c>
      <c r="Y622" t="s">
        <v>395</v>
      </c>
      <c r="Z622" t="s">
        <v>131</v>
      </c>
      <c r="AA622" s="90">
        <v>92720</v>
      </c>
      <c r="AB622" t="s">
        <v>500</v>
      </c>
      <c r="AC622" t="s">
        <v>0</v>
      </c>
      <c r="AD622" t="s">
        <v>143</v>
      </c>
    </row>
    <row r="623" spans="2:30" x14ac:dyDescent="0.25">
      <c r="B623">
        <v>104436</v>
      </c>
      <c r="C623" t="s">
        <v>1220</v>
      </c>
      <c r="D623">
        <v>2016</v>
      </c>
      <c r="F623" s="89">
        <v>5475.1781872000001</v>
      </c>
      <c r="G623" s="89" t="s">
        <v>128</v>
      </c>
      <c r="H623" s="89"/>
      <c r="I623" s="89">
        <v>5475.1781872000001</v>
      </c>
      <c r="J623" s="89">
        <v>0</v>
      </c>
      <c r="K623" s="89">
        <v>0</v>
      </c>
      <c r="L623" s="89">
        <v>0</v>
      </c>
      <c r="M623" s="89">
        <v>0</v>
      </c>
      <c r="N623" s="89"/>
      <c r="O623" s="89">
        <v>0</v>
      </c>
      <c r="P623" s="89">
        <v>0</v>
      </c>
      <c r="Q623" s="89">
        <v>0</v>
      </c>
      <c r="R623" s="89">
        <v>0</v>
      </c>
      <c r="S623" s="89">
        <v>5475.1781872000001</v>
      </c>
      <c r="T623"/>
      <c r="U623" t="s">
        <v>129</v>
      </c>
      <c r="V623" t="s">
        <v>129</v>
      </c>
      <c r="Y623" t="s">
        <v>1221</v>
      </c>
      <c r="Z623" t="s">
        <v>131</v>
      </c>
      <c r="AA623" s="90">
        <v>92404</v>
      </c>
      <c r="AB623" t="s">
        <v>500</v>
      </c>
      <c r="AC623" t="s">
        <v>0</v>
      </c>
      <c r="AD623" t="s">
        <v>143</v>
      </c>
    </row>
    <row r="624" spans="2:30" x14ac:dyDescent="0.25">
      <c r="B624">
        <v>101518</v>
      </c>
      <c r="C624" t="s">
        <v>1222</v>
      </c>
      <c r="D624">
        <v>2016</v>
      </c>
      <c r="F624" s="89">
        <v>212695.950304</v>
      </c>
      <c r="G624" s="89" t="s">
        <v>128</v>
      </c>
      <c r="H624" s="89"/>
      <c r="I624" s="89">
        <v>212695.950304</v>
      </c>
      <c r="J624" s="89">
        <v>0</v>
      </c>
      <c r="K624" s="89">
        <v>0</v>
      </c>
      <c r="L624" s="89">
        <v>0</v>
      </c>
      <c r="M624" s="89">
        <v>0</v>
      </c>
      <c r="N624" s="89"/>
      <c r="O624" s="89">
        <v>212695.950304</v>
      </c>
      <c r="P624" s="89">
        <v>0</v>
      </c>
      <c r="Q624" s="89">
        <v>0</v>
      </c>
      <c r="R624" s="89">
        <v>212695.950304</v>
      </c>
      <c r="S624" s="89">
        <v>0</v>
      </c>
      <c r="T624"/>
      <c r="U624" t="s">
        <v>155</v>
      </c>
      <c r="V624" t="s">
        <v>129</v>
      </c>
      <c r="W624" t="s">
        <v>368</v>
      </c>
      <c r="Y624" t="s">
        <v>174</v>
      </c>
      <c r="Z624" t="s">
        <v>131</v>
      </c>
      <c r="AA624" s="90">
        <v>93450</v>
      </c>
      <c r="AB624" t="s">
        <v>132</v>
      </c>
      <c r="AC624" t="s">
        <v>1</v>
      </c>
      <c r="AD624" t="s">
        <v>133</v>
      </c>
    </row>
    <row r="625" spans="2:30" x14ac:dyDescent="0.25">
      <c r="B625">
        <v>104461</v>
      </c>
      <c r="C625" t="s">
        <v>1223</v>
      </c>
      <c r="D625">
        <v>2016</v>
      </c>
      <c r="F625" s="89">
        <v>131103.77015999999</v>
      </c>
      <c r="G625" s="89" t="s">
        <v>128</v>
      </c>
      <c r="H625" s="89"/>
      <c r="I625" s="89">
        <v>0</v>
      </c>
      <c r="J625" s="89">
        <v>0</v>
      </c>
      <c r="K625" s="89">
        <v>0</v>
      </c>
      <c r="L625" s="89">
        <v>0</v>
      </c>
      <c r="M625" s="89">
        <v>131103.77015999999</v>
      </c>
      <c r="N625" s="89"/>
      <c r="O625" s="89">
        <v>0</v>
      </c>
      <c r="P625" s="89">
        <v>0</v>
      </c>
      <c r="Q625" s="89">
        <v>131103.77015999999</v>
      </c>
      <c r="R625" s="89">
        <v>131103.77015999999</v>
      </c>
      <c r="S625" s="89">
        <v>0</v>
      </c>
      <c r="T625"/>
      <c r="U625" t="s">
        <v>155</v>
      </c>
      <c r="V625" t="s">
        <v>129</v>
      </c>
      <c r="W625" t="s">
        <v>297</v>
      </c>
      <c r="Y625" t="s">
        <v>510</v>
      </c>
      <c r="Z625" t="s">
        <v>145</v>
      </c>
      <c r="AA625" s="90">
        <v>85281</v>
      </c>
      <c r="AB625" t="s">
        <v>132</v>
      </c>
      <c r="AC625" t="s">
        <v>136</v>
      </c>
      <c r="AD625" t="s">
        <v>137</v>
      </c>
    </row>
    <row r="626" spans="2:30" x14ac:dyDescent="0.25">
      <c r="B626">
        <v>104398</v>
      </c>
      <c r="C626" t="s">
        <v>1224</v>
      </c>
      <c r="D626">
        <v>2016</v>
      </c>
      <c r="F626" s="89">
        <v>14864.411067200001</v>
      </c>
      <c r="G626" s="89" t="s">
        <v>128</v>
      </c>
      <c r="H626" s="89"/>
      <c r="I626" s="89">
        <v>14864.411067200001</v>
      </c>
      <c r="J626" s="89">
        <v>0</v>
      </c>
      <c r="K626" s="89">
        <v>0</v>
      </c>
      <c r="L626" s="89">
        <v>0</v>
      </c>
      <c r="M626" s="89">
        <v>0</v>
      </c>
      <c r="N626" s="89"/>
      <c r="O626" s="89">
        <v>0</v>
      </c>
      <c r="P626" s="89">
        <v>0</v>
      </c>
      <c r="Q626" s="89">
        <v>0</v>
      </c>
      <c r="R626" s="89">
        <v>0</v>
      </c>
      <c r="S626" s="89">
        <v>14864.411067200001</v>
      </c>
      <c r="T626"/>
      <c r="U626" t="s">
        <v>129</v>
      </c>
      <c r="V626" t="s">
        <v>129</v>
      </c>
      <c r="Y626" t="s">
        <v>1225</v>
      </c>
      <c r="Z626" t="s">
        <v>131</v>
      </c>
      <c r="AA626" s="90">
        <v>95023</v>
      </c>
      <c r="AB626" t="s">
        <v>485</v>
      </c>
      <c r="AC626" t="s">
        <v>0</v>
      </c>
      <c r="AD626" t="s">
        <v>143</v>
      </c>
    </row>
    <row r="627" spans="2:30" x14ac:dyDescent="0.25">
      <c r="B627">
        <v>3004</v>
      </c>
      <c r="C627" t="s">
        <v>1226</v>
      </c>
      <c r="D627">
        <v>2016</v>
      </c>
      <c r="F627" s="89">
        <v>673551.27537914598</v>
      </c>
      <c r="G627" s="89" t="s">
        <v>128</v>
      </c>
      <c r="H627" s="89"/>
      <c r="I627" s="89">
        <v>0</v>
      </c>
      <c r="J627" s="89">
        <v>0</v>
      </c>
      <c r="K627" s="89">
        <v>0</v>
      </c>
      <c r="L627" s="89">
        <v>0</v>
      </c>
      <c r="M627" s="89">
        <v>673551.27537914598</v>
      </c>
      <c r="N627" s="89"/>
      <c r="O627" s="89">
        <v>0</v>
      </c>
      <c r="P627" s="89">
        <v>0</v>
      </c>
      <c r="Q627" s="89">
        <v>673551.27537914598</v>
      </c>
      <c r="R627" s="89">
        <v>673551.27537914598</v>
      </c>
      <c r="S627" s="89">
        <v>0</v>
      </c>
      <c r="T627"/>
      <c r="U627" t="s">
        <v>155</v>
      </c>
      <c r="V627" t="s">
        <v>129</v>
      </c>
      <c r="W627" t="s">
        <v>645</v>
      </c>
      <c r="Y627" t="s">
        <v>283</v>
      </c>
      <c r="Z627" t="s">
        <v>131</v>
      </c>
      <c r="AA627" s="90">
        <v>92123</v>
      </c>
      <c r="AB627" t="s">
        <v>158</v>
      </c>
      <c r="AC627" t="s">
        <v>136</v>
      </c>
      <c r="AD627" t="s">
        <v>137</v>
      </c>
    </row>
    <row r="628" spans="2:30" x14ac:dyDescent="0.25">
      <c r="B628">
        <v>104085</v>
      </c>
      <c r="C628" t="s">
        <v>1227</v>
      </c>
      <c r="D628">
        <v>2016</v>
      </c>
      <c r="F628" s="89">
        <v>5924051.5253248001</v>
      </c>
      <c r="G628" s="89" t="s">
        <v>128</v>
      </c>
      <c r="H628" s="89"/>
      <c r="I628" s="89">
        <v>0</v>
      </c>
      <c r="J628" s="89">
        <v>0</v>
      </c>
      <c r="K628" s="89">
        <v>5924051.5253248001</v>
      </c>
      <c r="L628" s="89">
        <v>0</v>
      </c>
      <c r="M628" s="89">
        <v>0</v>
      </c>
      <c r="N628" s="89"/>
      <c r="O628" s="89">
        <v>0</v>
      </c>
      <c r="P628" s="89">
        <v>2808754.4444204802</v>
      </c>
      <c r="Q628" s="89">
        <v>0</v>
      </c>
      <c r="R628" s="89">
        <v>2808754.4444204802</v>
      </c>
      <c r="S628" s="89">
        <v>3115297.0809043199</v>
      </c>
      <c r="T628"/>
      <c r="U628" t="s">
        <v>155</v>
      </c>
      <c r="V628" t="s">
        <v>129</v>
      </c>
      <c r="W628" t="s">
        <v>645</v>
      </c>
      <c r="Y628" t="s">
        <v>283</v>
      </c>
      <c r="Z628" t="s">
        <v>131</v>
      </c>
      <c r="AA628" s="90">
        <v>92123</v>
      </c>
      <c r="AB628" t="s">
        <v>550</v>
      </c>
      <c r="AC628" t="s">
        <v>259</v>
      </c>
      <c r="AD628" t="s">
        <v>260</v>
      </c>
    </row>
    <row r="629" spans="2:30" x14ac:dyDescent="0.25">
      <c r="B629">
        <v>104115</v>
      </c>
      <c r="C629" t="s">
        <v>1228</v>
      </c>
      <c r="D629">
        <v>2016</v>
      </c>
      <c r="F629" s="89">
        <v>95327.807661329396</v>
      </c>
      <c r="G629" s="89" t="s">
        <v>128</v>
      </c>
      <c r="H629" s="89"/>
      <c r="I629" s="89">
        <v>95327.807661329396</v>
      </c>
      <c r="J629" s="89">
        <v>0</v>
      </c>
      <c r="K629" s="89">
        <v>0</v>
      </c>
      <c r="L629" s="89">
        <v>0</v>
      </c>
      <c r="M629" s="89">
        <v>0</v>
      </c>
      <c r="N629" s="89"/>
      <c r="O629" s="89">
        <v>0</v>
      </c>
      <c r="P629" s="89">
        <v>0</v>
      </c>
      <c r="Q629" s="89">
        <v>0</v>
      </c>
      <c r="R629" s="89">
        <v>0</v>
      </c>
      <c r="S629" s="89">
        <v>95327.807661329396</v>
      </c>
      <c r="T629"/>
      <c r="U629" t="s">
        <v>155</v>
      </c>
      <c r="V629" t="s">
        <v>129</v>
      </c>
      <c r="W629" t="s">
        <v>645</v>
      </c>
      <c r="Y629" t="s">
        <v>283</v>
      </c>
      <c r="Z629" t="s">
        <v>131</v>
      </c>
      <c r="AA629" s="90">
        <v>92123</v>
      </c>
      <c r="AB629" t="s">
        <v>550</v>
      </c>
      <c r="AC629" t="s">
        <v>63</v>
      </c>
      <c r="AD629" t="s">
        <v>176</v>
      </c>
    </row>
    <row r="630" spans="2:30" x14ac:dyDescent="0.25">
      <c r="B630">
        <v>104380</v>
      </c>
      <c r="C630" t="s">
        <v>1229</v>
      </c>
      <c r="D630">
        <v>2016</v>
      </c>
      <c r="F630" s="89">
        <v>15860.625579199999</v>
      </c>
      <c r="G630" s="89" t="s">
        <v>128</v>
      </c>
      <c r="H630" s="89"/>
      <c r="I630" s="89">
        <v>15860.625579199999</v>
      </c>
      <c r="J630" s="89">
        <v>0</v>
      </c>
      <c r="K630" s="89">
        <v>0</v>
      </c>
      <c r="L630" s="89">
        <v>0</v>
      </c>
      <c r="M630" s="89">
        <v>0</v>
      </c>
      <c r="N630" s="89"/>
      <c r="O630" s="89">
        <v>0</v>
      </c>
      <c r="P630" s="89">
        <v>0</v>
      </c>
      <c r="Q630" s="89">
        <v>0</v>
      </c>
      <c r="R630" s="89">
        <v>0</v>
      </c>
      <c r="S630" s="89">
        <v>15860.625579199999</v>
      </c>
      <c r="T630"/>
      <c r="U630" t="s">
        <v>129</v>
      </c>
      <c r="V630" t="s">
        <v>129</v>
      </c>
      <c r="Y630" t="s">
        <v>573</v>
      </c>
      <c r="Z630" t="s">
        <v>131</v>
      </c>
      <c r="AA630" s="90">
        <v>94110</v>
      </c>
      <c r="AB630" t="s">
        <v>500</v>
      </c>
      <c r="AC630" t="s">
        <v>0</v>
      </c>
      <c r="AD630" t="s">
        <v>143</v>
      </c>
    </row>
    <row r="631" spans="2:30" x14ac:dyDescent="0.25">
      <c r="B631">
        <v>3028</v>
      </c>
      <c r="C631" t="s">
        <v>1230</v>
      </c>
      <c r="D631">
        <v>2016</v>
      </c>
      <c r="F631" s="89">
        <v>0</v>
      </c>
      <c r="G631" s="89" t="s">
        <v>128</v>
      </c>
      <c r="H631" s="89"/>
      <c r="I631" s="89">
        <v>0</v>
      </c>
      <c r="J631" s="89">
        <v>0</v>
      </c>
      <c r="K631" s="89">
        <v>0</v>
      </c>
      <c r="L631" s="89">
        <v>0</v>
      </c>
      <c r="M631" s="89">
        <v>0</v>
      </c>
      <c r="N631" s="89"/>
      <c r="O631" s="89">
        <v>0</v>
      </c>
      <c r="P631" s="89">
        <v>0</v>
      </c>
      <c r="Q631" s="89">
        <v>0</v>
      </c>
      <c r="R631" s="89">
        <v>0</v>
      </c>
      <c r="S631" s="89">
        <v>0</v>
      </c>
      <c r="T631"/>
      <c r="U631" t="s">
        <v>129</v>
      </c>
      <c r="V631" t="s">
        <v>129</v>
      </c>
      <c r="Y631" t="s">
        <v>573</v>
      </c>
      <c r="Z631" t="s">
        <v>131</v>
      </c>
      <c r="AA631" s="90">
        <v>94102</v>
      </c>
      <c r="AB631" t="s">
        <v>158</v>
      </c>
      <c r="AC631" t="s">
        <v>136</v>
      </c>
      <c r="AD631" t="s">
        <v>137</v>
      </c>
    </row>
    <row r="632" spans="2:30" x14ac:dyDescent="0.25">
      <c r="B632">
        <v>104367</v>
      </c>
      <c r="C632" t="s">
        <v>1231</v>
      </c>
      <c r="D632">
        <v>2016</v>
      </c>
      <c r="F632" s="89">
        <v>16431.239801600001</v>
      </c>
      <c r="G632" s="89" t="s">
        <v>128</v>
      </c>
      <c r="H632" s="89"/>
      <c r="I632" s="89">
        <v>16431.239801600001</v>
      </c>
      <c r="J632" s="89">
        <v>0</v>
      </c>
      <c r="K632" s="89">
        <v>0</v>
      </c>
      <c r="L632" s="89">
        <v>0</v>
      </c>
      <c r="M632" s="89">
        <v>0</v>
      </c>
      <c r="N632" s="89"/>
      <c r="O632" s="89">
        <v>0</v>
      </c>
      <c r="P632" s="89">
        <v>0</v>
      </c>
      <c r="Q632" s="89">
        <v>0</v>
      </c>
      <c r="R632" s="89">
        <v>0</v>
      </c>
      <c r="S632" s="89">
        <v>16431.239801600001</v>
      </c>
      <c r="T632"/>
      <c r="U632" t="s">
        <v>129</v>
      </c>
      <c r="V632" t="s">
        <v>129</v>
      </c>
      <c r="Y632" t="s">
        <v>573</v>
      </c>
      <c r="Z632" t="s">
        <v>131</v>
      </c>
      <c r="AA632" s="90">
        <v>94128</v>
      </c>
      <c r="AB632" t="s">
        <v>1232</v>
      </c>
      <c r="AC632" t="s">
        <v>0</v>
      </c>
      <c r="AD632" t="s">
        <v>143</v>
      </c>
    </row>
    <row r="633" spans="2:30" x14ac:dyDescent="0.25">
      <c r="B633">
        <v>104556</v>
      </c>
      <c r="C633" t="s">
        <v>1233</v>
      </c>
      <c r="D633">
        <v>2016</v>
      </c>
      <c r="F633" s="89">
        <v>9993.66</v>
      </c>
      <c r="G633" s="89" t="s">
        <v>128</v>
      </c>
      <c r="H633" s="89"/>
      <c r="I633" s="89">
        <v>87.02</v>
      </c>
      <c r="J633" s="89">
        <v>9906.64</v>
      </c>
      <c r="K633" s="89">
        <v>0</v>
      </c>
      <c r="L633" s="89">
        <v>0</v>
      </c>
      <c r="M633" s="89">
        <v>0</v>
      </c>
      <c r="N633" s="89"/>
      <c r="O633" s="89">
        <v>0</v>
      </c>
      <c r="P633" s="89">
        <v>0</v>
      </c>
      <c r="Q633" s="89">
        <v>0</v>
      </c>
      <c r="R633" s="89">
        <v>0</v>
      </c>
      <c r="S633" s="89">
        <v>9993.66</v>
      </c>
      <c r="T633"/>
      <c r="U633" t="s">
        <v>129</v>
      </c>
      <c r="V633" t="s">
        <v>129</v>
      </c>
      <c r="Y633" t="s">
        <v>1234</v>
      </c>
      <c r="Z633" t="s">
        <v>131</v>
      </c>
      <c r="AA633" s="90">
        <v>94124</v>
      </c>
      <c r="AB633" t="s">
        <v>504</v>
      </c>
      <c r="AC633" t="s">
        <v>0</v>
      </c>
      <c r="AD633" t="s">
        <v>143</v>
      </c>
    </row>
    <row r="634" spans="2:30" x14ac:dyDescent="0.25">
      <c r="B634">
        <v>104486</v>
      </c>
      <c r="C634" t="s">
        <v>1235</v>
      </c>
      <c r="D634">
        <v>2016</v>
      </c>
      <c r="F634" s="89">
        <v>0</v>
      </c>
      <c r="G634" s="89" t="s">
        <v>128</v>
      </c>
      <c r="H634" s="89"/>
      <c r="I634" s="89">
        <v>0</v>
      </c>
      <c r="J634" s="89">
        <v>0</v>
      </c>
      <c r="K634" s="89">
        <v>0</v>
      </c>
      <c r="L634" s="89">
        <v>0</v>
      </c>
      <c r="M634" s="89">
        <v>0</v>
      </c>
      <c r="N634" s="89"/>
      <c r="O634" s="89">
        <v>0</v>
      </c>
      <c r="P634" s="89">
        <v>0</v>
      </c>
      <c r="Q634" s="89">
        <v>0</v>
      </c>
      <c r="R634" s="89">
        <v>0</v>
      </c>
      <c r="S634" s="89">
        <v>0</v>
      </c>
      <c r="T634"/>
      <c r="U634" t="s">
        <v>129</v>
      </c>
      <c r="V634" t="s">
        <v>129</v>
      </c>
      <c r="Y634" t="s">
        <v>410</v>
      </c>
      <c r="Z634" t="s">
        <v>131</v>
      </c>
      <c r="AA634" s="90">
        <v>95330</v>
      </c>
      <c r="AB634" t="s">
        <v>132</v>
      </c>
      <c r="AC634" t="s">
        <v>0</v>
      </c>
      <c r="AD634" t="s">
        <v>140</v>
      </c>
    </row>
    <row r="635" spans="2:30" x14ac:dyDescent="0.25">
      <c r="B635">
        <v>101239</v>
      </c>
      <c r="C635" t="s">
        <v>1236</v>
      </c>
      <c r="D635">
        <v>2016</v>
      </c>
      <c r="F635" s="89">
        <v>94412.175666121999</v>
      </c>
      <c r="G635" s="89" t="s">
        <v>128</v>
      </c>
      <c r="H635" s="89"/>
      <c r="I635" s="89">
        <v>94412.175666121999</v>
      </c>
      <c r="J635" s="89">
        <v>0</v>
      </c>
      <c r="K635" s="89">
        <v>0</v>
      </c>
      <c r="L635" s="89">
        <v>0</v>
      </c>
      <c r="M635" s="89">
        <v>0</v>
      </c>
      <c r="N635" s="89"/>
      <c r="O635" s="89">
        <v>94047.531666121999</v>
      </c>
      <c r="P635" s="89">
        <v>0</v>
      </c>
      <c r="Q635" s="89">
        <v>0</v>
      </c>
      <c r="R635" s="89">
        <v>94047.531666121999</v>
      </c>
      <c r="S635" s="89">
        <v>364.64400000000001</v>
      </c>
      <c r="T635"/>
      <c r="U635" t="s">
        <v>210</v>
      </c>
      <c r="V635" t="s">
        <v>155</v>
      </c>
      <c r="W635" t="s">
        <v>277</v>
      </c>
      <c r="Y635" t="s">
        <v>178</v>
      </c>
      <c r="Z635" t="s">
        <v>131</v>
      </c>
      <c r="AA635" s="90">
        <v>93308</v>
      </c>
      <c r="AB635" t="s">
        <v>229</v>
      </c>
      <c r="AC635" t="s">
        <v>1131</v>
      </c>
      <c r="AD635" t="s">
        <v>1132</v>
      </c>
    </row>
    <row r="636" spans="2:30" x14ac:dyDescent="0.25">
      <c r="B636">
        <v>104497</v>
      </c>
      <c r="C636" t="s">
        <v>1237</v>
      </c>
      <c r="D636">
        <v>2016</v>
      </c>
      <c r="F636" s="89">
        <v>230815.05298800001</v>
      </c>
      <c r="G636" s="89" t="s">
        <v>128</v>
      </c>
      <c r="H636" s="89"/>
      <c r="I636" s="89">
        <v>0</v>
      </c>
      <c r="J636" s="89">
        <v>0</v>
      </c>
      <c r="K636" s="89">
        <v>225520.98268799999</v>
      </c>
      <c r="L636" s="89">
        <v>5294.0703000000003</v>
      </c>
      <c r="M636" s="89">
        <v>0</v>
      </c>
      <c r="N636" s="89"/>
      <c r="O636" s="89">
        <v>0</v>
      </c>
      <c r="P636" s="89">
        <v>225520.98268799999</v>
      </c>
      <c r="Q636" s="89">
        <v>0</v>
      </c>
      <c r="R636" s="89">
        <v>225520.98268799999</v>
      </c>
      <c r="S636" s="89">
        <v>5294.0703000000003</v>
      </c>
      <c r="T636"/>
      <c r="U636" t="s">
        <v>210</v>
      </c>
      <c r="V636" t="s">
        <v>129</v>
      </c>
      <c r="W636" t="s">
        <v>277</v>
      </c>
      <c r="Y636" t="s">
        <v>178</v>
      </c>
      <c r="Z636" t="s">
        <v>131</v>
      </c>
      <c r="AA636" s="90">
        <v>93308</v>
      </c>
      <c r="AB636" t="s">
        <v>229</v>
      </c>
      <c r="AC636" t="s">
        <v>147</v>
      </c>
      <c r="AD636" t="s">
        <v>148</v>
      </c>
    </row>
    <row r="637" spans="2:30" x14ac:dyDescent="0.25">
      <c r="B637">
        <v>101140</v>
      </c>
      <c r="C637" t="s">
        <v>1238</v>
      </c>
      <c r="D637">
        <v>2016</v>
      </c>
      <c r="F637" s="89">
        <v>37586.639435388402</v>
      </c>
      <c r="G637" s="89" t="s">
        <v>128</v>
      </c>
      <c r="H637" s="89"/>
      <c r="I637" s="89">
        <v>20225.8394353884</v>
      </c>
      <c r="J637" s="89">
        <v>17360.8</v>
      </c>
      <c r="K637" s="89">
        <v>0</v>
      </c>
      <c r="L637" s="89">
        <v>0</v>
      </c>
      <c r="M637" s="89">
        <v>0</v>
      </c>
      <c r="N637" s="89"/>
      <c r="O637" s="89">
        <v>19962.905817038401</v>
      </c>
      <c r="P637" s="89">
        <v>0</v>
      </c>
      <c r="Q637" s="89">
        <v>0</v>
      </c>
      <c r="R637" s="89">
        <v>19962.905817038401</v>
      </c>
      <c r="S637" s="89">
        <v>17623.733618350001</v>
      </c>
      <c r="T637"/>
      <c r="U637" t="s">
        <v>155</v>
      </c>
      <c r="V637" t="s">
        <v>129</v>
      </c>
      <c r="W637" t="s">
        <v>368</v>
      </c>
      <c r="Y637" t="s">
        <v>438</v>
      </c>
      <c r="Z637" t="s">
        <v>131</v>
      </c>
      <c r="AA637" s="90">
        <v>95134</v>
      </c>
      <c r="AB637" t="s">
        <v>504</v>
      </c>
      <c r="AC637" t="s">
        <v>0</v>
      </c>
      <c r="AD637" t="s">
        <v>143</v>
      </c>
    </row>
    <row r="638" spans="2:30" x14ac:dyDescent="0.25">
      <c r="B638">
        <v>101157</v>
      </c>
      <c r="C638" t="s">
        <v>1239</v>
      </c>
      <c r="D638">
        <v>2016</v>
      </c>
      <c r="F638" s="89">
        <v>11302.5936594303</v>
      </c>
      <c r="G638" s="89" t="s">
        <v>128</v>
      </c>
      <c r="H638" s="89"/>
      <c r="I638" s="89">
        <v>56.693659430362501</v>
      </c>
      <c r="J638" s="89">
        <v>11245.9</v>
      </c>
      <c r="K638" s="89">
        <v>0</v>
      </c>
      <c r="L638" s="89">
        <v>0</v>
      </c>
      <c r="M638" s="89">
        <v>0</v>
      </c>
      <c r="N638" s="89"/>
      <c r="O638" s="89">
        <v>0</v>
      </c>
      <c r="P638" s="89">
        <v>0</v>
      </c>
      <c r="Q638" s="89">
        <v>0</v>
      </c>
      <c r="R638" s="89">
        <v>0</v>
      </c>
      <c r="S638" s="89">
        <v>11302.5936594303</v>
      </c>
      <c r="T638"/>
      <c r="U638" t="s">
        <v>129</v>
      </c>
      <c r="V638" t="s">
        <v>129</v>
      </c>
      <c r="Y638" t="s">
        <v>1240</v>
      </c>
      <c r="Z638" t="s">
        <v>131</v>
      </c>
      <c r="AA638" s="90">
        <v>92069</v>
      </c>
      <c r="AB638" t="s">
        <v>139</v>
      </c>
      <c r="AC638" t="s">
        <v>0</v>
      </c>
      <c r="AD638" t="s">
        <v>140</v>
      </c>
    </row>
    <row r="639" spans="2:30" x14ac:dyDescent="0.25">
      <c r="B639">
        <v>104670</v>
      </c>
      <c r="C639" t="s">
        <v>1241</v>
      </c>
      <c r="D639">
        <v>2016</v>
      </c>
      <c r="F639" s="89">
        <v>18041.152247404701</v>
      </c>
      <c r="G639" s="89" t="s">
        <v>128</v>
      </c>
      <c r="H639" s="89"/>
      <c r="I639" s="89">
        <v>18041.152247404701</v>
      </c>
      <c r="J639" s="89">
        <v>0</v>
      </c>
      <c r="K639" s="89">
        <v>0</v>
      </c>
      <c r="L639" s="89">
        <v>0</v>
      </c>
      <c r="M639" s="89">
        <v>0</v>
      </c>
      <c r="N639" s="89"/>
      <c r="O639" s="89">
        <v>0</v>
      </c>
      <c r="P639" s="89">
        <v>0</v>
      </c>
      <c r="Q639" s="89">
        <v>0</v>
      </c>
      <c r="R639" s="89">
        <v>0</v>
      </c>
      <c r="S639" s="89">
        <v>18041.152247404701</v>
      </c>
      <c r="T639"/>
      <c r="U639" t="s">
        <v>129</v>
      </c>
      <c r="V639" t="s">
        <v>129</v>
      </c>
      <c r="Y639" t="s">
        <v>1242</v>
      </c>
      <c r="Z639" t="s">
        <v>131</v>
      </c>
      <c r="AA639" s="90">
        <v>93105</v>
      </c>
      <c r="AB639" t="s">
        <v>500</v>
      </c>
      <c r="AC639" t="s">
        <v>0</v>
      </c>
      <c r="AD639" t="s">
        <v>143</v>
      </c>
    </row>
    <row r="640" spans="2:30" x14ac:dyDescent="0.25">
      <c r="B640">
        <v>104626</v>
      </c>
      <c r="C640" t="s">
        <v>1243</v>
      </c>
      <c r="D640">
        <v>2016</v>
      </c>
      <c r="F640" s="89">
        <v>14705.879696</v>
      </c>
      <c r="G640" s="89" t="s">
        <v>128</v>
      </c>
      <c r="H640" s="89"/>
      <c r="I640" s="89">
        <v>14705.879696</v>
      </c>
      <c r="J640" s="89">
        <v>0</v>
      </c>
      <c r="K640" s="89">
        <v>0</v>
      </c>
      <c r="L640" s="89">
        <v>0</v>
      </c>
      <c r="M640" s="89">
        <v>0</v>
      </c>
      <c r="N640" s="89"/>
      <c r="O640" s="89">
        <v>0</v>
      </c>
      <c r="P640" s="89">
        <v>0</v>
      </c>
      <c r="Q640" s="89">
        <v>0</v>
      </c>
      <c r="R640" s="89">
        <v>0</v>
      </c>
      <c r="S640" s="89">
        <v>14705.879696</v>
      </c>
      <c r="T640"/>
      <c r="U640" t="s">
        <v>129</v>
      </c>
      <c r="V640" t="s">
        <v>129</v>
      </c>
      <c r="Y640" t="s">
        <v>438</v>
      </c>
      <c r="Z640" t="s">
        <v>131</v>
      </c>
      <c r="AA640" s="90">
        <v>95128</v>
      </c>
      <c r="AB640" t="s">
        <v>500</v>
      </c>
      <c r="AC640" t="s">
        <v>0</v>
      </c>
      <c r="AD640" t="s">
        <v>143</v>
      </c>
    </row>
    <row r="641" spans="2:30" x14ac:dyDescent="0.25">
      <c r="B641">
        <v>101439</v>
      </c>
      <c r="C641" t="s">
        <v>1244</v>
      </c>
      <c r="D641">
        <v>2016</v>
      </c>
      <c r="F641" s="89">
        <v>5904.41654041325</v>
      </c>
      <c r="G641" s="89" t="s">
        <v>128</v>
      </c>
      <c r="H641" s="89"/>
      <c r="I641" s="89">
        <v>29.61654041325</v>
      </c>
      <c r="J641" s="89">
        <v>5874.8</v>
      </c>
      <c r="K641" s="89">
        <v>0</v>
      </c>
      <c r="L641" s="89">
        <v>0</v>
      </c>
      <c r="M641" s="89">
        <v>0</v>
      </c>
      <c r="N641" s="89"/>
      <c r="O641" s="89">
        <v>0</v>
      </c>
      <c r="P641" s="89">
        <v>0</v>
      </c>
      <c r="Q641" s="89">
        <v>0</v>
      </c>
      <c r="R641" s="89">
        <v>0</v>
      </c>
      <c r="S641" s="89">
        <v>5904.41654041325</v>
      </c>
      <c r="T641"/>
      <c r="U641" t="s">
        <v>129</v>
      </c>
      <c r="V641" t="s">
        <v>129</v>
      </c>
      <c r="Y641" t="s">
        <v>1245</v>
      </c>
      <c r="Z641" t="s">
        <v>131</v>
      </c>
      <c r="AA641" s="90">
        <v>95064</v>
      </c>
      <c r="AB641" t="s">
        <v>139</v>
      </c>
      <c r="AC641" t="s">
        <v>0</v>
      </c>
      <c r="AD641" t="s">
        <v>140</v>
      </c>
    </row>
    <row r="642" spans="2:30" x14ac:dyDescent="0.25">
      <c r="B642">
        <v>104381</v>
      </c>
      <c r="C642" t="s">
        <v>1246</v>
      </c>
      <c r="D642">
        <v>2016</v>
      </c>
      <c r="F642" s="89">
        <v>0</v>
      </c>
      <c r="G642" s="89" t="s">
        <v>128</v>
      </c>
      <c r="H642" s="89"/>
      <c r="I642" s="89">
        <v>0</v>
      </c>
      <c r="J642" s="89">
        <v>0</v>
      </c>
      <c r="K642" s="89">
        <v>0</v>
      </c>
      <c r="L642" s="89">
        <v>0</v>
      </c>
      <c r="M642" s="89">
        <v>0</v>
      </c>
      <c r="N642" s="89"/>
      <c r="O642" s="89">
        <v>0</v>
      </c>
      <c r="P642" s="89">
        <v>0</v>
      </c>
      <c r="Q642" s="89">
        <v>0</v>
      </c>
      <c r="R642" s="89">
        <v>0</v>
      </c>
      <c r="S642" s="89">
        <v>0</v>
      </c>
      <c r="T642"/>
      <c r="U642" t="s">
        <v>129</v>
      </c>
      <c r="V642" t="s">
        <v>129</v>
      </c>
      <c r="Y642" t="s">
        <v>688</v>
      </c>
      <c r="Z642" t="s">
        <v>131</v>
      </c>
      <c r="AA642" s="90">
        <v>93455</v>
      </c>
      <c r="AB642" t="s">
        <v>170</v>
      </c>
      <c r="AC642" t="s">
        <v>0</v>
      </c>
      <c r="AD642" t="s">
        <v>176</v>
      </c>
    </row>
    <row r="643" spans="2:30" x14ac:dyDescent="0.25">
      <c r="B643">
        <v>104395</v>
      </c>
      <c r="C643" t="s">
        <v>1247</v>
      </c>
      <c r="D643">
        <v>2016</v>
      </c>
      <c r="F643" s="89">
        <v>7985.7226111999998</v>
      </c>
      <c r="G643" s="89" t="s">
        <v>128</v>
      </c>
      <c r="H643" s="89"/>
      <c r="I643" s="89">
        <v>7985.7226111999998</v>
      </c>
      <c r="J643" s="89">
        <v>0</v>
      </c>
      <c r="K643" s="89">
        <v>0</v>
      </c>
      <c r="L643" s="89">
        <v>0</v>
      </c>
      <c r="M643" s="89">
        <v>0</v>
      </c>
      <c r="N643" s="89"/>
      <c r="O643" s="89">
        <v>0</v>
      </c>
      <c r="P643" s="89">
        <v>0</v>
      </c>
      <c r="Q643" s="89">
        <v>0</v>
      </c>
      <c r="R643" s="89">
        <v>0</v>
      </c>
      <c r="S643" s="89">
        <v>7985.7226111999998</v>
      </c>
      <c r="T643"/>
      <c r="U643" t="s">
        <v>129</v>
      </c>
      <c r="V643" t="s">
        <v>129</v>
      </c>
      <c r="Y643" t="s">
        <v>1248</v>
      </c>
      <c r="Z643" t="s">
        <v>131</v>
      </c>
      <c r="AA643" s="90">
        <v>95360</v>
      </c>
      <c r="AB643" t="s">
        <v>768</v>
      </c>
      <c r="AC643" t="s">
        <v>0</v>
      </c>
      <c r="AD643" t="s">
        <v>143</v>
      </c>
    </row>
    <row r="644" spans="2:30" x14ac:dyDescent="0.25">
      <c r="B644">
        <v>101186</v>
      </c>
      <c r="C644" t="s">
        <v>1249</v>
      </c>
      <c r="D644">
        <v>2016</v>
      </c>
      <c r="F644" s="89">
        <v>66349.972228800005</v>
      </c>
      <c r="G644" s="89" t="s">
        <v>128</v>
      </c>
      <c r="H644" s="89"/>
      <c r="I644" s="89">
        <v>66349.972228800005</v>
      </c>
      <c r="J644" s="89">
        <v>0</v>
      </c>
      <c r="K644" s="89">
        <v>0</v>
      </c>
      <c r="L644" s="89">
        <v>0</v>
      </c>
      <c r="M644" s="89">
        <v>0</v>
      </c>
      <c r="N644" s="89"/>
      <c r="O644" s="89">
        <v>66349.972228800005</v>
      </c>
      <c r="P644" s="89">
        <v>0</v>
      </c>
      <c r="Q644" s="89">
        <v>0</v>
      </c>
      <c r="R644" s="89">
        <v>66349.972228800005</v>
      </c>
      <c r="S644" s="89">
        <v>0</v>
      </c>
      <c r="T644"/>
      <c r="U644" t="s">
        <v>155</v>
      </c>
      <c r="V644" t="s">
        <v>155</v>
      </c>
      <c r="W644" t="s">
        <v>277</v>
      </c>
      <c r="Y644" t="s">
        <v>843</v>
      </c>
      <c r="Z644" t="s">
        <v>131</v>
      </c>
      <c r="AA644" s="90">
        <v>93274</v>
      </c>
      <c r="AB644" t="s">
        <v>768</v>
      </c>
      <c r="AC644" t="s">
        <v>0</v>
      </c>
      <c r="AD644" t="s">
        <v>143</v>
      </c>
    </row>
    <row r="645" spans="2:30" x14ac:dyDescent="0.25">
      <c r="B645">
        <v>104396</v>
      </c>
      <c r="C645" t="s">
        <v>1250</v>
      </c>
      <c r="D645">
        <v>2016</v>
      </c>
      <c r="F645" s="89">
        <v>11372.204473600001</v>
      </c>
      <c r="G645" s="89" t="s">
        <v>128</v>
      </c>
      <c r="H645" s="89"/>
      <c r="I645" s="89">
        <v>11372.204473600001</v>
      </c>
      <c r="J645" s="89">
        <v>0</v>
      </c>
      <c r="K645" s="89">
        <v>0</v>
      </c>
      <c r="L645" s="89">
        <v>0</v>
      </c>
      <c r="M645" s="89">
        <v>0</v>
      </c>
      <c r="N645" s="89"/>
      <c r="O645" s="89">
        <v>0</v>
      </c>
      <c r="P645" s="89">
        <v>0</v>
      </c>
      <c r="Q645" s="89">
        <v>0</v>
      </c>
      <c r="R645" s="89">
        <v>0</v>
      </c>
      <c r="S645" s="89">
        <v>11372.204473600001</v>
      </c>
      <c r="T645"/>
      <c r="U645" t="s">
        <v>129</v>
      </c>
      <c r="V645" t="s">
        <v>129</v>
      </c>
      <c r="Y645" t="s">
        <v>843</v>
      </c>
      <c r="Z645" t="s">
        <v>131</v>
      </c>
      <c r="AA645" s="90">
        <v>93274</v>
      </c>
      <c r="AB645" t="s">
        <v>768</v>
      </c>
      <c r="AC645" t="s">
        <v>0</v>
      </c>
      <c r="AD645" t="s">
        <v>143</v>
      </c>
    </row>
    <row r="646" spans="2:30" x14ac:dyDescent="0.25">
      <c r="B646">
        <v>101517</v>
      </c>
      <c r="C646" t="s">
        <v>1251</v>
      </c>
      <c r="D646">
        <v>2016</v>
      </c>
      <c r="F646" s="89">
        <v>214486.676236</v>
      </c>
      <c r="G646" s="89" t="s">
        <v>128</v>
      </c>
      <c r="H646" s="89"/>
      <c r="I646" s="89">
        <v>214486.676236</v>
      </c>
      <c r="J646" s="89">
        <v>0</v>
      </c>
      <c r="K646" s="89">
        <v>0</v>
      </c>
      <c r="L646" s="89">
        <v>0</v>
      </c>
      <c r="M646" s="89">
        <v>0</v>
      </c>
      <c r="N646" s="89"/>
      <c r="O646" s="89">
        <v>214486.676236</v>
      </c>
      <c r="P646" s="89">
        <v>0</v>
      </c>
      <c r="Q646" s="89">
        <v>0</v>
      </c>
      <c r="R646" s="89">
        <v>214486.676236</v>
      </c>
      <c r="S646" s="89">
        <v>0</v>
      </c>
      <c r="T646"/>
      <c r="U646" t="s">
        <v>155</v>
      </c>
      <c r="V646" t="s">
        <v>129</v>
      </c>
      <c r="W646" t="s">
        <v>368</v>
      </c>
      <c r="Y646" t="s">
        <v>174</v>
      </c>
      <c r="Z646" t="s">
        <v>131</v>
      </c>
      <c r="AA646" s="90">
        <v>93450</v>
      </c>
      <c r="AB646" t="s">
        <v>132</v>
      </c>
      <c r="AC646" t="s">
        <v>1</v>
      </c>
      <c r="AD646" t="s">
        <v>133</v>
      </c>
    </row>
    <row r="647" spans="2:30" x14ac:dyDescent="0.25">
      <c r="B647">
        <v>104358</v>
      </c>
      <c r="C647" t="s">
        <v>1252</v>
      </c>
      <c r="D647">
        <v>2016</v>
      </c>
      <c r="F647" s="89">
        <v>27583.5032928</v>
      </c>
      <c r="G647" s="89" t="s">
        <v>128</v>
      </c>
      <c r="H647" s="89"/>
      <c r="I647" s="89">
        <v>27583.5032928</v>
      </c>
      <c r="J647" s="89">
        <v>0</v>
      </c>
      <c r="K647" s="89">
        <v>0</v>
      </c>
      <c r="L647" s="89">
        <v>0</v>
      </c>
      <c r="M647" s="89">
        <v>0</v>
      </c>
      <c r="N647" s="89"/>
      <c r="O647" s="89">
        <v>27583.5032928</v>
      </c>
      <c r="P647" s="89">
        <v>0</v>
      </c>
      <c r="Q647" s="89">
        <v>0</v>
      </c>
      <c r="R647" s="89">
        <v>27583.5032928</v>
      </c>
      <c r="S647" s="89">
        <v>0</v>
      </c>
      <c r="T647"/>
      <c r="U647" t="s">
        <v>155</v>
      </c>
      <c r="V647" t="s">
        <v>155</v>
      </c>
      <c r="W647" t="s">
        <v>156</v>
      </c>
      <c r="Y647" t="s">
        <v>1253</v>
      </c>
      <c r="Z647" t="s">
        <v>131</v>
      </c>
      <c r="AA647" s="90">
        <v>91730</v>
      </c>
      <c r="AB647" t="s">
        <v>497</v>
      </c>
      <c r="AC647" t="s">
        <v>0</v>
      </c>
      <c r="AD647" t="s">
        <v>143</v>
      </c>
    </row>
    <row r="648" spans="2:30" x14ac:dyDescent="0.25">
      <c r="B648">
        <v>100040</v>
      </c>
      <c r="C648" t="s">
        <v>1254</v>
      </c>
      <c r="D648">
        <v>2016</v>
      </c>
      <c r="F648" s="89">
        <v>231566.36654023599</v>
      </c>
      <c r="G648" s="89" t="s">
        <v>128</v>
      </c>
      <c r="H648" s="89"/>
      <c r="I648" s="89">
        <v>6131.8665402360002</v>
      </c>
      <c r="J648" s="89">
        <v>225434.5</v>
      </c>
      <c r="K648" s="89">
        <v>0</v>
      </c>
      <c r="L648" s="89">
        <v>0</v>
      </c>
      <c r="M648" s="89">
        <v>0</v>
      </c>
      <c r="N648" s="89"/>
      <c r="O648" s="89">
        <v>0</v>
      </c>
      <c r="P648" s="89">
        <v>0</v>
      </c>
      <c r="Q648" s="89">
        <v>0</v>
      </c>
      <c r="R648" s="89">
        <v>0</v>
      </c>
      <c r="S648" s="89">
        <v>231566.36654023599</v>
      </c>
      <c r="T648"/>
      <c r="U648" t="s">
        <v>155</v>
      </c>
      <c r="V648" t="s">
        <v>129</v>
      </c>
      <c r="W648" t="s">
        <v>156</v>
      </c>
      <c r="Y648" t="s">
        <v>1255</v>
      </c>
      <c r="Z648" t="s">
        <v>131</v>
      </c>
      <c r="AA648" s="90">
        <v>95565</v>
      </c>
      <c r="AB648" t="s">
        <v>241</v>
      </c>
      <c r="AC648" t="s">
        <v>0</v>
      </c>
      <c r="AD648" t="s">
        <v>133</v>
      </c>
    </row>
    <row r="649" spans="2:30" x14ac:dyDescent="0.25">
      <c r="B649">
        <v>101663</v>
      </c>
      <c r="C649" t="s">
        <v>1256</v>
      </c>
      <c r="D649">
        <v>2016</v>
      </c>
      <c r="F649" s="89">
        <v>4981.875884</v>
      </c>
      <c r="G649" s="89" t="s">
        <v>128</v>
      </c>
      <c r="H649" s="89"/>
      <c r="I649" s="89">
        <v>4981.875884</v>
      </c>
      <c r="J649" s="89">
        <v>0</v>
      </c>
      <c r="K649" s="89">
        <v>0</v>
      </c>
      <c r="L649" s="89">
        <v>0</v>
      </c>
      <c r="M649" s="89">
        <v>0</v>
      </c>
      <c r="N649" s="89"/>
      <c r="O649" s="89">
        <v>0</v>
      </c>
      <c r="P649" s="89">
        <v>0</v>
      </c>
      <c r="Q649" s="89">
        <v>0</v>
      </c>
      <c r="R649" s="89">
        <v>0</v>
      </c>
      <c r="S649" s="89">
        <v>4981.875884</v>
      </c>
      <c r="T649"/>
      <c r="U649" t="s">
        <v>129</v>
      </c>
      <c r="V649" t="s">
        <v>129</v>
      </c>
      <c r="Y649" t="s">
        <v>679</v>
      </c>
      <c r="Z649" t="s">
        <v>131</v>
      </c>
      <c r="AA649" s="90">
        <v>92020</v>
      </c>
      <c r="AB649" t="s">
        <v>132</v>
      </c>
      <c r="AC649" t="s">
        <v>1</v>
      </c>
      <c r="AD649" t="s">
        <v>140</v>
      </c>
    </row>
    <row r="650" spans="2:30" x14ac:dyDescent="0.25">
      <c r="B650">
        <v>101401</v>
      </c>
      <c r="C650" t="s">
        <v>1257</v>
      </c>
      <c r="D650">
        <v>2016</v>
      </c>
      <c r="F650" s="89">
        <v>66864.730339999995</v>
      </c>
      <c r="G650" s="89" t="s">
        <v>128</v>
      </c>
      <c r="H650" s="89"/>
      <c r="I650" s="89">
        <v>66864.730339999995</v>
      </c>
      <c r="J650" s="89">
        <v>0</v>
      </c>
      <c r="K650" s="89">
        <v>0</v>
      </c>
      <c r="L650" s="89">
        <v>0</v>
      </c>
      <c r="M650" s="89">
        <v>0</v>
      </c>
      <c r="N650" s="89"/>
      <c r="O650" s="89">
        <v>66864.730339999995</v>
      </c>
      <c r="P650" s="89">
        <v>0</v>
      </c>
      <c r="Q650" s="89">
        <v>0</v>
      </c>
      <c r="R650" s="89">
        <v>66864.730339999995</v>
      </c>
      <c r="S650" s="89">
        <v>0</v>
      </c>
      <c r="T650"/>
      <c r="U650" t="s">
        <v>155</v>
      </c>
      <c r="V650" t="s">
        <v>129</v>
      </c>
      <c r="W650" t="s">
        <v>645</v>
      </c>
      <c r="Y650" t="s">
        <v>283</v>
      </c>
      <c r="Z650" t="s">
        <v>131</v>
      </c>
      <c r="AA650" s="90">
        <v>92121</v>
      </c>
      <c r="AB650" t="s">
        <v>132</v>
      </c>
      <c r="AC650" t="s">
        <v>1</v>
      </c>
      <c r="AD650" t="s">
        <v>140</v>
      </c>
    </row>
    <row r="651" spans="2:30" x14ac:dyDescent="0.25">
      <c r="B651">
        <v>104221</v>
      </c>
      <c r="C651" t="s">
        <v>1258</v>
      </c>
      <c r="D651">
        <v>2016</v>
      </c>
      <c r="F651" s="89">
        <v>15193.362068</v>
      </c>
      <c r="G651" s="89" t="s">
        <v>128</v>
      </c>
      <c r="H651" s="89"/>
      <c r="I651" s="89">
        <v>15193.362068</v>
      </c>
      <c r="J651" s="89">
        <v>0</v>
      </c>
      <c r="K651" s="89">
        <v>0</v>
      </c>
      <c r="L651" s="89">
        <v>0</v>
      </c>
      <c r="M651" s="89">
        <v>0</v>
      </c>
      <c r="N651" s="89"/>
      <c r="O651" s="89">
        <v>11555.273405</v>
      </c>
      <c r="P651" s="89">
        <v>0</v>
      </c>
      <c r="Q651" s="89">
        <v>0</v>
      </c>
      <c r="R651" s="89">
        <v>11555.273405</v>
      </c>
      <c r="S651" s="89">
        <v>3638.088663</v>
      </c>
      <c r="T651"/>
      <c r="U651" t="s">
        <v>155</v>
      </c>
      <c r="V651" t="s">
        <v>129</v>
      </c>
      <c r="W651" t="s">
        <v>645</v>
      </c>
      <c r="Y651" t="s">
        <v>984</v>
      </c>
      <c r="Z651" t="s">
        <v>131</v>
      </c>
      <c r="AA651" s="90">
        <v>92555</v>
      </c>
      <c r="AB651" t="s">
        <v>451</v>
      </c>
      <c r="AC651" t="s">
        <v>175</v>
      </c>
      <c r="AD651" t="s">
        <v>176</v>
      </c>
    </row>
    <row r="652" spans="2:30" x14ac:dyDescent="0.25">
      <c r="B652">
        <v>100362</v>
      </c>
      <c r="C652" t="s">
        <v>1259</v>
      </c>
      <c r="D652">
        <v>2016</v>
      </c>
      <c r="F652" s="89">
        <v>891616.64576800005</v>
      </c>
      <c r="G652" s="89" t="s">
        <v>128</v>
      </c>
      <c r="H652" s="89"/>
      <c r="I652" s="89">
        <v>891616.64576800005</v>
      </c>
      <c r="J652" s="89">
        <v>0</v>
      </c>
      <c r="K652" s="89">
        <v>0</v>
      </c>
      <c r="L652" s="89">
        <v>0</v>
      </c>
      <c r="M652" s="89">
        <v>0</v>
      </c>
      <c r="N652" s="89"/>
      <c r="O652" s="89">
        <v>891616.64576800005</v>
      </c>
      <c r="P652" s="89">
        <v>0</v>
      </c>
      <c r="Q652" s="89">
        <v>0</v>
      </c>
      <c r="R652" s="89">
        <v>891616.64576800005</v>
      </c>
      <c r="S652" s="89">
        <v>0</v>
      </c>
      <c r="T652"/>
      <c r="U652" t="s">
        <v>155</v>
      </c>
      <c r="V652" t="s">
        <v>129</v>
      </c>
      <c r="W652" t="s">
        <v>645</v>
      </c>
      <c r="Y652" t="s">
        <v>444</v>
      </c>
      <c r="Z652" t="s">
        <v>131</v>
      </c>
      <c r="AA652" s="90">
        <v>92029</v>
      </c>
      <c r="AB652" t="s">
        <v>132</v>
      </c>
      <c r="AC652" t="s">
        <v>1</v>
      </c>
      <c r="AD652" t="s">
        <v>140</v>
      </c>
    </row>
    <row r="653" spans="2:30" x14ac:dyDescent="0.25">
      <c r="B653">
        <v>100011</v>
      </c>
      <c r="C653" t="s">
        <v>1260</v>
      </c>
      <c r="D653">
        <v>2016</v>
      </c>
      <c r="F653" s="89">
        <v>1490892.5730778</v>
      </c>
      <c r="G653" s="89" t="s">
        <v>128</v>
      </c>
      <c r="H653" s="89"/>
      <c r="I653" s="89">
        <v>1490892.5730778</v>
      </c>
      <c r="J653" s="89">
        <v>0</v>
      </c>
      <c r="K653" s="89">
        <v>0</v>
      </c>
      <c r="L653" s="89">
        <v>0</v>
      </c>
      <c r="M653" s="89">
        <v>0</v>
      </c>
      <c r="N653" s="89"/>
      <c r="O653" s="89">
        <v>1490892.5730778</v>
      </c>
      <c r="P653" s="89">
        <v>0</v>
      </c>
      <c r="Q653" s="89">
        <v>0</v>
      </c>
      <c r="R653" s="89">
        <v>1490892.5730778</v>
      </c>
      <c r="S653" s="89">
        <v>0</v>
      </c>
      <c r="T653"/>
      <c r="U653" t="s">
        <v>155</v>
      </c>
      <c r="V653" t="s">
        <v>155</v>
      </c>
      <c r="W653" t="s">
        <v>277</v>
      </c>
      <c r="Y653" t="s">
        <v>1261</v>
      </c>
      <c r="Z653" t="s">
        <v>131</v>
      </c>
      <c r="AA653" s="90">
        <v>93562</v>
      </c>
      <c r="AB653" t="s">
        <v>1262</v>
      </c>
      <c r="AC653" t="s">
        <v>0</v>
      </c>
      <c r="AD653" t="s">
        <v>143</v>
      </c>
    </row>
    <row r="654" spans="2:30" x14ac:dyDescent="0.25">
      <c r="B654">
        <v>104503</v>
      </c>
      <c r="C654" t="s">
        <v>1263</v>
      </c>
      <c r="D654">
        <v>2016</v>
      </c>
      <c r="F654" s="89">
        <v>1452261.7502029999</v>
      </c>
      <c r="G654" s="89" t="s">
        <v>128</v>
      </c>
      <c r="H654" s="89"/>
      <c r="I654" s="89">
        <v>0</v>
      </c>
      <c r="J654" s="89">
        <v>0</v>
      </c>
      <c r="K654" s="89">
        <v>1357032.3788030001</v>
      </c>
      <c r="L654" s="89">
        <v>95229.371400000004</v>
      </c>
      <c r="M654" s="89">
        <v>0</v>
      </c>
      <c r="N654" s="89"/>
      <c r="O654" s="89">
        <v>0</v>
      </c>
      <c r="P654" s="89">
        <v>1357032.3788030001</v>
      </c>
      <c r="Q654" s="89">
        <v>0</v>
      </c>
      <c r="R654" s="89">
        <v>1357032.3788030001</v>
      </c>
      <c r="S654" s="89">
        <v>95229.371400000004</v>
      </c>
      <c r="T654"/>
      <c r="U654" t="s">
        <v>155</v>
      </c>
      <c r="V654" t="s">
        <v>129</v>
      </c>
      <c r="W654" t="s">
        <v>222</v>
      </c>
      <c r="Y654" t="s">
        <v>1264</v>
      </c>
      <c r="Z654" t="s">
        <v>360</v>
      </c>
      <c r="AA654" s="90">
        <v>75063</v>
      </c>
      <c r="AB654" t="s">
        <v>1265</v>
      </c>
      <c r="AC654" t="s">
        <v>147</v>
      </c>
      <c r="AD654" t="s">
        <v>148</v>
      </c>
    </row>
    <row r="655" spans="2:30" x14ac:dyDescent="0.25">
      <c r="B655">
        <v>104568</v>
      </c>
      <c r="C655" t="s">
        <v>1503</v>
      </c>
      <c r="D655">
        <v>2016</v>
      </c>
      <c r="F655" s="89">
        <v>0</v>
      </c>
      <c r="G655" s="89" t="s">
        <v>128</v>
      </c>
      <c r="H655" s="89"/>
      <c r="I655" s="89">
        <v>0</v>
      </c>
      <c r="J655" s="89">
        <v>0</v>
      </c>
      <c r="K655" s="89">
        <v>0</v>
      </c>
      <c r="L655" s="89">
        <v>0</v>
      </c>
      <c r="M655" s="89">
        <v>0</v>
      </c>
      <c r="N655" s="89"/>
      <c r="O655" s="89">
        <v>0</v>
      </c>
      <c r="P655" s="89">
        <v>0</v>
      </c>
      <c r="Q655" s="89">
        <v>0</v>
      </c>
      <c r="R655" s="89">
        <v>0</v>
      </c>
      <c r="S655" s="89">
        <v>0</v>
      </c>
      <c r="T655"/>
      <c r="U655" t="s">
        <v>129</v>
      </c>
      <c r="V655" t="s">
        <v>129</v>
      </c>
      <c r="Y655" t="s">
        <v>152</v>
      </c>
      <c r="Z655" t="s">
        <v>131</v>
      </c>
      <c r="AA655" s="90">
        <v>94080</v>
      </c>
      <c r="AB655" t="s">
        <v>146</v>
      </c>
      <c r="AC655" t="s">
        <v>147</v>
      </c>
      <c r="AD655" t="s">
        <v>148</v>
      </c>
    </row>
    <row r="656" spans="2:30" x14ac:dyDescent="0.25">
      <c r="B656">
        <v>2060</v>
      </c>
      <c r="C656" t="s">
        <v>1266</v>
      </c>
      <c r="D656">
        <v>2016</v>
      </c>
      <c r="F656" s="89">
        <v>1121947.42032453</v>
      </c>
      <c r="G656" s="89" t="s">
        <v>128</v>
      </c>
      <c r="H656" s="89"/>
      <c r="I656" s="89">
        <v>0</v>
      </c>
      <c r="J656" s="89">
        <v>0</v>
      </c>
      <c r="K656" s="89">
        <v>0</v>
      </c>
      <c r="L656" s="89">
        <v>0</v>
      </c>
      <c r="M656" s="89">
        <v>1121947.42032453</v>
      </c>
      <c r="N656" s="89"/>
      <c r="O656" s="89">
        <v>0</v>
      </c>
      <c r="P656" s="89">
        <v>0</v>
      </c>
      <c r="Q656" s="89">
        <v>1121947.42032453</v>
      </c>
      <c r="R656" s="89">
        <v>1121947.42032453</v>
      </c>
      <c r="S656" s="89">
        <v>0</v>
      </c>
      <c r="T656"/>
      <c r="U656" t="s">
        <v>155</v>
      </c>
      <c r="V656" t="s">
        <v>129</v>
      </c>
      <c r="W656" t="s">
        <v>156</v>
      </c>
      <c r="Y656" t="s">
        <v>283</v>
      </c>
      <c r="Z656" t="s">
        <v>131</v>
      </c>
      <c r="AA656" s="90">
        <v>92101</v>
      </c>
      <c r="AB656" t="s">
        <v>158</v>
      </c>
      <c r="AC656" t="s">
        <v>136</v>
      </c>
      <c r="AD656" t="s">
        <v>137</v>
      </c>
    </row>
    <row r="657" spans="2:30" x14ac:dyDescent="0.25">
      <c r="B657">
        <v>104610</v>
      </c>
      <c r="C657" t="s">
        <v>1267</v>
      </c>
      <c r="D657">
        <v>2016</v>
      </c>
      <c r="F657" s="89">
        <v>9431.3932767999995</v>
      </c>
      <c r="G657" s="89" t="s">
        <v>128</v>
      </c>
      <c r="H657" s="89"/>
      <c r="I657" s="89">
        <v>9431.3932767999995</v>
      </c>
      <c r="J657" s="89">
        <v>0</v>
      </c>
      <c r="K657" s="89">
        <v>0</v>
      </c>
      <c r="L657" s="89">
        <v>0</v>
      </c>
      <c r="M657" s="89">
        <v>0</v>
      </c>
      <c r="N657" s="89"/>
      <c r="O657" s="89">
        <v>0</v>
      </c>
      <c r="P657" s="89">
        <v>0</v>
      </c>
      <c r="Q657" s="89">
        <v>0</v>
      </c>
      <c r="R657" s="89">
        <v>0</v>
      </c>
      <c r="S657" s="89">
        <v>9431.3932767999995</v>
      </c>
      <c r="T657"/>
      <c r="U657" t="s">
        <v>129</v>
      </c>
      <c r="V657" t="s">
        <v>129</v>
      </c>
      <c r="Y657" t="s">
        <v>357</v>
      </c>
      <c r="Z657" t="s">
        <v>131</v>
      </c>
      <c r="AA657" s="90">
        <v>95354</v>
      </c>
      <c r="AB657" t="s">
        <v>485</v>
      </c>
      <c r="AC657" t="s">
        <v>0</v>
      </c>
      <c r="AD657" t="s">
        <v>143</v>
      </c>
    </row>
    <row r="658" spans="2:30" x14ac:dyDescent="0.25">
      <c r="B658">
        <v>104091</v>
      </c>
      <c r="C658" t="s">
        <v>1268</v>
      </c>
      <c r="D658">
        <v>2016</v>
      </c>
      <c r="F658" s="89">
        <v>285781.98057336197</v>
      </c>
      <c r="G658" s="89" t="s">
        <v>128</v>
      </c>
      <c r="H658" s="89"/>
      <c r="I658" s="89">
        <v>285781.98057336197</v>
      </c>
      <c r="J658" s="89">
        <v>0</v>
      </c>
      <c r="K658" s="89">
        <v>0</v>
      </c>
      <c r="L658" s="89">
        <v>0</v>
      </c>
      <c r="M658" s="89">
        <v>0</v>
      </c>
      <c r="N658" s="89"/>
      <c r="O658" s="89">
        <v>285273.01821137202</v>
      </c>
      <c r="P658" s="89">
        <v>0</v>
      </c>
      <c r="Q658" s="89">
        <v>0</v>
      </c>
      <c r="R658" s="89">
        <v>285273.01821137202</v>
      </c>
      <c r="S658" s="89">
        <v>508.96236198999998</v>
      </c>
      <c r="T658"/>
      <c r="U658" t="s">
        <v>155</v>
      </c>
      <c r="V658" t="s">
        <v>155</v>
      </c>
      <c r="W658" t="s">
        <v>277</v>
      </c>
      <c r="Y658" t="s">
        <v>949</v>
      </c>
      <c r="Z658" t="s">
        <v>131</v>
      </c>
      <c r="AA658" s="90">
        <v>93224</v>
      </c>
      <c r="AB658" t="s">
        <v>170</v>
      </c>
      <c r="AC658" t="s">
        <v>175</v>
      </c>
      <c r="AD658" t="s">
        <v>176</v>
      </c>
    </row>
    <row r="659" spans="2:30" x14ac:dyDescent="0.25">
      <c r="B659">
        <v>101315</v>
      </c>
      <c r="C659" t="s">
        <v>1269</v>
      </c>
      <c r="D659">
        <v>2016</v>
      </c>
      <c r="F659" s="89">
        <v>45631.570959999997</v>
      </c>
      <c r="G659" s="89" t="s">
        <v>128</v>
      </c>
      <c r="H659" s="89"/>
      <c r="I659" s="89">
        <v>45631.570959999997</v>
      </c>
      <c r="J659" s="89">
        <v>0</v>
      </c>
      <c r="K659" s="89">
        <v>0</v>
      </c>
      <c r="L659" s="89">
        <v>0</v>
      </c>
      <c r="M659" s="89">
        <v>0</v>
      </c>
      <c r="N659" s="89"/>
      <c r="O659" s="89">
        <v>45631.570959999997</v>
      </c>
      <c r="P659" s="89">
        <v>0</v>
      </c>
      <c r="Q659" s="89">
        <v>0</v>
      </c>
      <c r="R659" s="89">
        <v>45631.570959999997</v>
      </c>
      <c r="S659" s="89">
        <v>0</v>
      </c>
      <c r="T659"/>
      <c r="U659" t="s">
        <v>155</v>
      </c>
      <c r="V659" t="s">
        <v>155</v>
      </c>
      <c r="W659" t="s">
        <v>197</v>
      </c>
      <c r="Y659" t="s">
        <v>659</v>
      </c>
      <c r="Z659" t="s">
        <v>131</v>
      </c>
      <c r="AA659" s="90">
        <v>95334</v>
      </c>
      <c r="AB659" t="s">
        <v>1052</v>
      </c>
      <c r="AC659" t="s">
        <v>0</v>
      </c>
      <c r="AD659" t="s">
        <v>143</v>
      </c>
    </row>
    <row r="660" spans="2:30" x14ac:dyDescent="0.25">
      <c r="B660">
        <v>104219</v>
      </c>
      <c r="C660" t="s">
        <v>1270</v>
      </c>
      <c r="D660">
        <v>2016</v>
      </c>
      <c r="F660" s="89">
        <v>239329.34096959999</v>
      </c>
      <c r="G660" s="89" t="s">
        <v>128</v>
      </c>
      <c r="H660" s="89"/>
      <c r="I660" s="89">
        <v>239329.34096959999</v>
      </c>
      <c r="J660" s="89">
        <v>0</v>
      </c>
      <c r="K660" s="89">
        <v>0</v>
      </c>
      <c r="L660" s="89">
        <v>0</v>
      </c>
      <c r="M660" s="89">
        <v>0</v>
      </c>
      <c r="N660" s="89"/>
      <c r="O660" s="89">
        <v>239329.34096959999</v>
      </c>
      <c r="P660" s="89">
        <v>0</v>
      </c>
      <c r="Q660" s="89">
        <v>0</v>
      </c>
      <c r="R660" s="89">
        <v>239329.34096959999</v>
      </c>
      <c r="S660" s="89">
        <v>0</v>
      </c>
      <c r="T660"/>
      <c r="U660" t="s">
        <v>155</v>
      </c>
      <c r="V660" t="s">
        <v>129</v>
      </c>
      <c r="W660" t="s">
        <v>565</v>
      </c>
      <c r="Y660" t="s">
        <v>1271</v>
      </c>
      <c r="Z660" t="s">
        <v>131</v>
      </c>
      <c r="AA660" s="90">
        <v>92258</v>
      </c>
      <c r="AB660" t="s">
        <v>132</v>
      </c>
      <c r="AC660" t="s">
        <v>0</v>
      </c>
      <c r="AD660" t="s">
        <v>140</v>
      </c>
    </row>
    <row r="661" spans="2:30" x14ac:dyDescent="0.25">
      <c r="B661">
        <v>104081</v>
      </c>
      <c r="C661" t="s">
        <v>1272</v>
      </c>
      <c r="D661">
        <v>2016</v>
      </c>
      <c r="F661" s="89">
        <v>891929.14740000002</v>
      </c>
      <c r="G661" s="89" t="s">
        <v>128</v>
      </c>
      <c r="H661" s="89"/>
      <c r="I661" s="89">
        <v>891929.14740000002</v>
      </c>
      <c r="J661" s="89">
        <v>0</v>
      </c>
      <c r="K661" s="89">
        <v>0</v>
      </c>
      <c r="L661" s="89">
        <v>0</v>
      </c>
      <c r="M661" s="89">
        <v>0</v>
      </c>
      <c r="N661" s="89"/>
      <c r="O661" s="89">
        <v>871512.59790000005</v>
      </c>
      <c r="P661" s="89">
        <v>0</v>
      </c>
      <c r="Q661" s="89">
        <v>0</v>
      </c>
      <c r="R661" s="89">
        <v>871512.59790000005</v>
      </c>
      <c r="S661" s="89">
        <v>20416.549500000001</v>
      </c>
      <c r="T661"/>
      <c r="U661" t="s">
        <v>155</v>
      </c>
      <c r="V661" t="s">
        <v>155</v>
      </c>
      <c r="W661" t="s">
        <v>277</v>
      </c>
      <c r="Y661" t="s">
        <v>949</v>
      </c>
      <c r="Z661" t="s">
        <v>131</v>
      </c>
      <c r="AA661" s="90">
        <v>93224</v>
      </c>
      <c r="AB661" t="s">
        <v>170</v>
      </c>
      <c r="AC661" t="s">
        <v>175</v>
      </c>
      <c r="AD661" t="s">
        <v>176</v>
      </c>
    </row>
    <row r="662" spans="2:30" x14ac:dyDescent="0.25">
      <c r="B662">
        <v>103016</v>
      </c>
      <c r="C662" t="s">
        <v>1273</v>
      </c>
      <c r="D662">
        <v>2016</v>
      </c>
      <c r="F662" s="89">
        <v>92365.101713265103</v>
      </c>
      <c r="G662" s="89" t="s">
        <v>128</v>
      </c>
      <c r="H662" s="89"/>
      <c r="I662" s="89">
        <v>88806.701713265094</v>
      </c>
      <c r="J662" s="89">
        <v>3558.4</v>
      </c>
      <c r="K662" s="89">
        <v>0</v>
      </c>
      <c r="L662" s="89">
        <v>0</v>
      </c>
      <c r="M662" s="89">
        <v>0</v>
      </c>
      <c r="N662" s="89"/>
      <c r="O662" s="89">
        <v>88778.437758237502</v>
      </c>
      <c r="P662" s="89">
        <v>0</v>
      </c>
      <c r="Q662" s="89">
        <v>0</v>
      </c>
      <c r="R662" s="89">
        <v>88778.437758237502</v>
      </c>
      <c r="S662" s="89">
        <v>3586.66395502768</v>
      </c>
      <c r="T662"/>
      <c r="U662" t="s">
        <v>155</v>
      </c>
      <c r="V662" t="s">
        <v>155</v>
      </c>
      <c r="W662" t="s">
        <v>277</v>
      </c>
      <c r="Y662" t="s">
        <v>416</v>
      </c>
      <c r="Z662" t="s">
        <v>131</v>
      </c>
      <c r="AA662" s="90">
        <v>93401</v>
      </c>
      <c r="AB662" t="s">
        <v>170</v>
      </c>
      <c r="AC662" t="s">
        <v>175</v>
      </c>
      <c r="AD662" t="s">
        <v>176</v>
      </c>
    </row>
    <row r="663" spans="2:30" x14ac:dyDescent="0.25">
      <c r="B663">
        <v>104202</v>
      </c>
      <c r="C663" t="s">
        <v>1274</v>
      </c>
      <c r="D663">
        <v>2016</v>
      </c>
      <c r="F663" s="89">
        <v>10395.9890126479</v>
      </c>
      <c r="G663" s="89" t="s">
        <v>128</v>
      </c>
      <c r="H663" s="89"/>
      <c r="I663" s="89">
        <v>10395.9890126479</v>
      </c>
      <c r="J663" s="89">
        <v>0</v>
      </c>
      <c r="K663" s="89">
        <v>0</v>
      </c>
      <c r="L663" s="89">
        <v>0</v>
      </c>
      <c r="M663" s="89">
        <v>0</v>
      </c>
      <c r="N663" s="89"/>
      <c r="O663" s="89">
        <v>0</v>
      </c>
      <c r="P663" s="89">
        <v>0</v>
      </c>
      <c r="Q663" s="89">
        <v>0</v>
      </c>
      <c r="R663" s="89">
        <v>0</v>
      </c>
      <c r="S663" s="89">
        <v>10395.9890126479</v>
      </c>
      <c r="T663"/>
      <c r="U663" t="s">
        <v>129</v>
      </c>
      <c r="V663" t="s">
        <v>129</v>
      </c>
      <c r="Y663" t="s">
        <v>1275</v>
      </c>
      <c r="Z663" t="s">
        <v>131</v>
      </c>
      <c r="AA663" s="90">
        <v>92316</v>
      </c>
      <c r="AB663" t="s">
        <v>1025</v>
      </c>
      <c r="AC663" t="s">
        <v>0</v>
      </c>
      <c r="AD663" t="s">
        <v>143</v>
      </c>
    </row>
    <row r="664" spans="2:30" x14ac:dyDescent="0.25">
      <c r="B664">
        <v>104615</v>
      </c>
      <c r="C664" t="s">
        <v>1276</v>
      </c>
      <c r="D664">
        <v>2016</v>
      </c>
      <c r="F664" s="89">
        <v>16340.7308128</v>
      </c>
      <c r="G664" s="89" t="s">
        <v>128</v>
      </c>
      <c r="H664" s="89"/>
      <c r="I664" s="89">
        <v>16340.7308128</v>
      </c>
      <c r="J664" s="89">
        <v>0</v>
      </c>
      <c r="K664" s="89">
        <v>0</v>
      </c>
      <c r="L664" s="89">
        <v>0</v>
      </c>
      <c r="M664" s="89">
        <v>0</v>
      </c>
      <c r="N664" s="89"/>
      <c r="O664" s="89">
        <v>0</v>
      </c>
      <c r="P664" s="89">
        <v>0</v>
      </c>
      <c r="Q664" s="89">
        <v>0</v>
      </c>
      <c r="R664" s="89">
        <v>0</v>
      </c>
      <c r="S664" s="89">
        <v>16340.7308128</v>
      </c>
      <c r="T664"/>
      <c r="U664" t="s">
        <v>129</v>
      </c>
      <c r="V664" t="s">
        <v>129</v>
      </c>
      <c r="Y664" t="s">
        <v>1277</v>
      </c>
      <c r="Z664" t="s">
        <v>131</v>
      </c>
      <c r="AA664" s="90">
        <v>91942</v>
      </c>
      <c r="AB664" t="s">
        <v>500</v>
      </c>
      <c r="AC664" t="s">
        <v>0</v>
      </c>
      <c r="AD664" t="s">
        <v>143</v>
      </c>
    </row>
    <row r="665" spans="2:30" x14ac:dyDescent="0.25">
      <c r="B665">
        <v>104325</v>
      </c>
      <c r="C665" t="s">
        <v>1278</v>
      </c>
      <c r="D665">
        <v>2016</v>
      </c>
      <c r="F665" s="89">
        <v>9590.0042560000002</v>
      </c>
      <c r="G665" s="89" t="s">
        <v>128</v>
      </c>
      <c r="H665" s="89"/>
      <c r="I665" s="89">
        <v>9590.0042560000002</v>
      </c>
      <c r="J665" s="89">
        <v>0</v>
      </c>
      <c r="K665" s="89">
        <v>0</v>
      </c>
      <c r="L665" s="89">
        <v>0</v>
      </c>
      <c r="M665" s="89">
        <v>0</v>
      </c>
      <c r="N665" s="89"/>
      <c r="O665" s="89">
        <v>0</v>
      </c>
      <c r="P665" s="89">
        <v>0</v>
      </c>
      <c r="Q665" s="89">
        <v>0</v>
      </c>
      <c r="R665" s="89">
        <v>0</v>
      </c>
      <c r="S665" s="89">
        <v>9590.0042560000002</v>
      </c>
      <c r="T665"/>
      <c r="U665" t="s">
        <v>129</v>
      </c>
      <c r="V665" t="s">
        <v>129</v>
      </c>
      <c r="Y665" t="s">
        <v>205</v>
      </c>
      <c r="Z665" t="s">
        <v>131</v>
      </c>
      <c r="AA665" s="90">
        <v>94553</v>
      </c>
      <c r="AB665" t="s">
        <v>610</v>
      </c>
      <c r="AC665" t="s">
        <v>0</v>
      </c>
      <c r="AD665" t="s">
        <v>143</v>
      </c>
    </row>
    <row r="666" spans="2:30" x14ac:dyDescent="0.25">
      <c r="B666">
        <v>3081</v>
      </c>
      <c r="C666" t="s">
        <v>1279</v>
      </c>
      <c r="D666">
        <v>2016</v>
      </c>
      <c r="F666" s="89">
        <v>389040.90553752001</v>
      </c>
      <c r="G666" s="89" t="s">
        <v>128</v>
      </c>
      <c r="H666" s="89"/>
      <c r="I666" s="89">
        <v>0</v>
      </c>
      <c r="J666" s="89">
        <v>0</v>
      </c>
      <c r="K666" s="89">
        <v>0</v>
      </c>
      <c r="L666" s="89">
        <v>0</v>
      </c>
      <c r="M666" s="89">
        <v>389040.90553752001</v>
      </c>
      <c r="N666" s="89"/>
      <c r="O666" s="89">
        <v>0</v>
      </c>
      <c r="P666" s="89">
        <v>0</v>
      </c>
      <c r="Q666" s="89">
        <v>229823.19353752001</v>
      </c>
      <c r="R666" s="89">
        <v>229823.19353752001</v>
      </c>
      <c r="S666" s="89">
        <v>159217.712</v>
      </c>
      <c r="T666"/>
      <c r="U666" t="s">
        <v>155</v>
      </c>
      <c r="V666" t="s">
        <v>129</v>
      </c>
      <c r="W666" t="s">
        <v>215</v>
      </c>
      <c r="Y666" t="s">
        <v>283</v>
      </c>
      <c r="Z666" t="s">
        <v>131</v>
      </c>
      <c r="AA666" s="90">
        <v>90120</v>
      </c>
      <c r="AB666" t="s">
        <v>158</v>
      </c>
      <c r="AC666" t="s">
        <v>136</v>
      </c>
      <c r="AD666" t="s">
        <v>137</v>
      </c>
    </row>
    <row r="667" spans="2:30" x14ac:dyDescent="0.25">
      <c r="B667">
        <v>100914</v>
      </c>
      <c r="C667" t="s">
        <v>1280</v>
      </c>
      <c r="D667">
        <v>2016</v>
      </c>
      <c r="F667" s="89">
        <v>4008405.5252265302</v>
      </c>
      <c r="G667" s="89" t="s">
        <v>128</v>
      </c>
      <c r="H667" s="89"/>
      <c r="I667" s="89">
        <v>4008405.5252265302</v>
      </c>
      <c r="J667" s="89">
        <v>0</v>
      </c>
      <c r="K667" s="89">
        <v>0</v>
      </c>
      <c r="L667" s="89">
        <v>0</v>
      </c>
      <c r="M667" s="89">
        <v>0</v>
      </c>
      <c r="N667" s="89"/>
      <c r="O667" s="89">
        <v>4007503.6802265299</v>
      </c>
      <c r="P667" s="89">
        <v>0</v>
      </c>
      <c r="Q667" s="89">
        <v>0</v>
      </c>
      <c r="R667" s="89">
        <v>4007503.6802265299</v>
      </c>
      <c r="S667" s="89">
        <v>901.84500000000003</v>
      </c>
      <c r="T667"/>
      <c r="U667" t="s">
        <v>210</v>
      </c>
      <c r="V667" t="s">
        <v>155</v>
      </c>
      <c r="W667" t="s">
        <v>368</v>
      </c>
      <c r="Y667" t="s">
        <v>205</v>
      </c>
      <c r="Z667" t="s">
        <v>131</v>
      </c>
      <c r="AA667" s="90">
        <v>94553</v>
      </c>
      <c r="AB667" t="s">
        <v>229</v>
      </c>
      <c r="AC667" t="s">
        <v>1131</v>
      </c>
      <c r="AD667" t="s">
        <v>1132</v>
      </c>
    </row>
    <row r="668" spans="2:30" x14ac:dyDescent="0.25">
      <c r="B668">
        <v>104051</v>
      </c>
      <c r="C668" t="s">
        <v>1281</v>
      </c>
      <c r="D668">
        <v>2016</v>
      </c>
      <c r="F668" s="89">
        <v>14100260.2714449</v>
      </c>
      <c r="G668" s="89" t="s">
        <v>128</v>
      </c>
      <c r="H668" s="89"/>
      <c r="I668" s="89">
        <v>0</v>
      </c>
      <c r="J668" s="89">
        <v>0</v>
      </c>
      <c r="K668" s="89">
        <v>13277772.414444899</v>
      </c>
      <c r="L668" s="89">
        <v>822487.85699999996</v>
      </c>
      <c r="M668" s="89">
        <v>0</v>
      </c>
      <c r="N668" s="89"/>
      <c r="O668" s="89">
        <v>0</v>
      </c>
      <c r="P668" s="89">
        <v>13277772.414444899</v>
      </c>
      <c r="Q668" s="89">
        <v>0</v>
      </c>
      <c r="R668" s="89">
        <v>13277772.414444899</v>
      </c>
      <c r="S668" s="89">
        <v>822487.85699999996</v>
      </c>
      <c r="T668"/>
      <c r="U668" t="s">
        <v>155</v>
      </c>
      <c r="V668" t="s">
        <v>129</v>
      </c>
      <c r="W668" t="s">
        <v>368</v>
      </c>
      <c r="Y668" t="s">
        <v>359</v>
      </c>
      <c r="Z668" t="s">
        <v>360</v>
      </c>
      <c r="AA668" s="90">
        <v>77002</v>
      </c>
      <c r="AB668" t="s">
        <v>227</v>
      </c>
      <c r="AC668" t="s">
        <v>1282</v>
      </c>
      <c r="AD668" t="s">
        <v>148</v>
      </c>
    </row>
    <row r="669" spans="2:30" x14ac:dyDescent="0.25">
      <c r="B669">
        <v>104543</v>
      </c>
      <c r="C669" t="s">
        <v>1283</v>
      </c>
      <c r="D669">
        <v>2016</v>
      </c>
      <c r="F669" s="89">
        <v>434332.48468400002</v>
      </c>
      <c r="G669" s="89" t="s">
        <v>128</v>
      </c>
      <c r="H669" s="89"/>
      <c r="I669" s="89">
        <v>0</v>
      </c>
      <c r="J669" s="89">
        <v>0</v>
      </c>
      <c r="K669" s="89">
        <v>10254.015684</v>
      </c>
      <c r="L669" s="89">
        <v>424078.46899999998</v>
      </c>
      <c r="M669" s="89">
        <v>0</v>
      </c>
      <c r="N669" s="89"/>
      <c r="O669" s="89">
        <v>0</v>
      </c>
      <c r="P669" s="89">
        <v>0</v>
      </c>
      <c r="Q669" s="89">
        <v>0</v>
      </c>
      <c r="R669" s="89">
        <v>0</v>
      </c>
      <c r="S669" s="89">
        <v>434332.48468400002</v>
      </c>
      <c r="T669"/>
      <c r="U669" t="s">
        <v>155</v>
      </c>
      <c r="V669" t="s">
        <v>129</v>
      </c>
      <c r="W669" t="s">
        <v>215</v>
      </c>
      <c r="Y669" t="s">
        <v>359</v>
      </c>
      <c r="Z669" t="s">
        <v>360</v>
      </c>
      <c r="AA669" s="90">
        <v>77002</v>
      </c>
      <c r="AB669" t="s">
        <v>146</v>
      </c>
      <c r="AC669" t="s">
        <v>147</v>
      </c>
      <c r="AD669" t="s">
        <v>148</v>
      </c>
    </row>
    <row r="670" spans="2:30" x14ac:dyDescent="0.25">
      <c r="B670">
        <v>104511</v>
      </c>
      <c r="C670" t="s">
        <v>1284</v>
      </c>
      <c r="D670">
        <v>2016</v>
      </c>
      <c r="F670" s="89">
        <v>150137.67487499901</v>
      </c>
      <c r="G670" s="89" t="s">
        <v>128</v>
      </c>
      <c r="H670" s="89"/>
      <c r="I670" s="89">
        <v>0</v>
      </c>
      <c r="J670" s="89">
        <v>0</v>
      </c>
      <c r="K670" s="89">
        <v>149802.22787499899</v>
      </c>
      <c r="L670" s="89">
        <v>335.447</v>
      </c>
      <c r="M670" s="89">
        <v>0</v>
      </c>
      <c r="N670" s="89"/>
      <c r="O670" s="89">
        <v>0</v>
      </c>
      <c r="P670" s="89">
        <v>149802.22787499899</v>
      </c>
      <c r="Q670" s="89">
        <v>0</v>
      </c>
      <c r="R670" s="89">
        <v>149802.22787499899</v>
      </c>
      <c r="S670" s="89">
        <v>335.447</v>
      </c>
      <c r="T670"/>
      <c r="U670" t="s">
        <v>155</v>
      </c>
      <c r="V670" t="s">
        <v>129</v>
      </c>
      <c r="W670" t="s">
        <v>277</v>
      </c>
      <c r="Y670" t="s">
        <v>395</v>
      </c>
      <c r="Z670" t="s">
        <v>131</v>
      </c>
      <c r="AA670" s="90">
        <v>93711</v>
      </c>
      <c r="AB670" t="s">
        <v>808</v>
      </c>
      <c r="AC670" t="s">
        <v>147</v>
      </c>
      <c r="AD670" t="s">
        <v>148</v>
      </c>
    </row>
    <row r="671" spans="2:30" x14ac:dyDescent="0.25">
      <c r="B671">
        <v>104329</v>
      </c>
      <c r="C671" t="s">
        <v>1285</v>
      </c>
      <c r="D671">
        <v>2016</v>
      </c>
      <c r="F671" s="89">
        <v>22753.4099584</v>
      </c>
      <c r="G671" s="89" t="s">
        <v>128</v>
      </c>
      <c r="H671" s="89"/>
      <c r="I671" s="89">
        <v>22753.4099584</v>
      </c>
      <c r="J671" s="89">
        <v>0</v>
      </c>
      <c r="K671" s="89">
        <v>0</v>
      </c>
      <c r="L671" s="89">
        <v>0</v>
      </c>
      <c r="M671" s="89">
        <v>0</v>
      </c>
      <c r="N671" s="89"/>
      <c r="O671" s="89">
        <v>22753.4099584</v>
      </c>
      <c r="P671" s="89">
        <v>0</v>
      </c>
      <c r="Q671" s="89">
        <v>0</v>
      </c>
      <c r="R671" s="89">
        <v>22753.4099584</v>
      </c>
      <c r="S671" s="89">
        <v>0</v>
      </c>
      <c r="T671"/>
      <c r="U671" t="s">
        <v>155</v>
      </c>
      <c r="V671" t="s">
        <v>129</v>
      </c>
      <c r="W671" t="s">
        <v>337</v>
      </c>
      <c r="Y671" t="s">
        <v>912</v>
      </c>
      <c r="Z671" t="s">
        <v>131</v>
      </c>
      <c r="AA671" s="90">
        <v>90280</v>
      </c>
      <c r="AB671" t="s">
        <v>441</v>
      </c>
      <c r="AC671" t="s">
        <v>0</v>
      </c>
      <c r="AD671" t="s">
        <v>143</v>
      </c>
    </row>
    <row r="672" spans="2:30" x14ac:dyDescent="0.25">
      <c r="B672">
        <v>104614</v>
      </c>
      <c r="C672" t="s">
        <v>1286</v>
      </c>
      <c r="D672">
        <v>2016</v>
      </c>
      <c r="F672" s="89">
        <v>16210.730948799999</v>
      </c>
      <c r="G672" s="89" t="s">
        <v>128</v>
      </c>
      <c r="H672" s="89"/>
      <c r="I672" s="89">
        <v>16210.730948799999</v>
      </c>
      <c r="J672" s="89">
        <v>0</v>
      </c>
      <c r="K672" s="89">
        <v>0</v>
      </c>
      <c r="L672" s="89">
        <v>0</v>
      </c>
      <c r="M672" s="89">
        <v>0</v>
      </c>
      <c r="N672" s="89"/>
      <c r="O672" s="89">
        <v>0</v>
      </c>
      <c r="P672" s="89">
        <v>0</v>
      </c>
      <c r="Q672" s="89">
        <v>0</v>
      </c>
      <c r="R672" s="89">
        <v>0</v>
      </c>
      <c r="S672" s="89">
        <v>16210.730948799999</v>
      </c>
      <c r="T672"/>
      <c r="U672" t="s">
        <v>129</v>
      </c>
      <c r="V672" t="s">
        <v>129</v>
      </c>
      <c r="Y672" t="s">
        <v>553</v>
      </c>
      <c r="Z672" t="s">
        <v>131</v>
      </c>
      <c r="AA672" s="90">
        <v>92509</v>
      </c>
      <c r="AB672" t="s">
        <v>1287</v>
      </c>
      <c r="AC672" t="s">
        <v>0</v>
      </c>
      <c r="AD672" t="s">
        <v>143</v>
      </c>
    </row>
    <row r="673" spans="2:30" x14ac:dyDescent="0.25">
      <c r="B673">
        <v>100090</v>
      </c>
      <c r="C673" t="s">
        <v>1288</v>
      </c>
      <c r="D673">
        <v>2016</v>
      </c>
      <c r="F673" s="89">
        <v>254597.50874750799</v>
      </c>
      <c r="G673" s="89" t="s">
        <v>128</v>
      </c>
      <c r="H673" s="89"/>
      <c r="I673" s="89">
        <v>5571.3087475080001</v>
      </c>
      <c r="J673" s="89">
        <v>249026.2</v>
      </c>
      <c r="K673" s="89">
        <v>0</v>
      </c>
      <c r="L673" s="89">
        <v>0</v>
      </c>
      <c r="M673" s="89">
        <v>0</v>
      </c>
      <c r="N673" s="89"/>
      <c r="O673" s="89">
        <v>0</v>
      </c>
      <c r="P673" s="89">
        <v>0</v>
      </c>
      <c r="Q673" s="89">
        <v>0</v>
      </c>
      <c r="R673" s="89">
        <v>0</v>
      </c>
      <c r="S673" s="89">
        <v>254597.50874750799</v>
      </c>
      <c r="T673"/>
      <c r="U673" t="s">
        <v>155</v>
      </c>
      <c r="V673" t="s">
        <v>129</v>
      </c>
      <c r="W673" t="s">
        <v>156</v>
      </c>
      <c r="Y673" t="s">
        <v>1289</v>
      </c>
      <c r="Z673" t="s">
        <v>131</v>
      </c>
      <c r="AA673" s="90">
        <v>96007</v>
      </c>
      <c r="AB673" t="s">
        <v>581</v>
      </c>
      <c r="AC673" t="s">
        <v>0</v>
      </c>
      <c r="AD673" t="s">
        <v>143</v>
      </c>
    </row>
    <row r="674" spans="2:30" x14ac:dyDescent="0.25">
      <c r="B674">
        <v>104449</v>
      </c>
      <c r="C674" t="s">
        <v>1290</v>
      </c>
      <c r="D674">
        <v>2016</v>
      </c>
      <c r="F674" s="89">
        <v>3634.0013886396</v>
      </c>
      <c r="G674" s="89" t="s">
        <v>128</v>
      </c>
      <c r="H674" s="89"/>
      <c r="I674" s="89">
        <v>74.9013886396</v>
      </c>
      <c r="J674" s="89">
        <v>3559.1</v>
      </c>
      <c r="K674" s="89">
        <v>0</v>
      </c>
      <c r="L674" s="89">
        <v>0</v>
      </c>
      <c r="M674" s="89">
        <v>0</v>
      </c>
      <c r="N674" s="89"/>
      <c r="O674" s="89">
        <v>0</v>
      </c>
      <c r="P674" s="89">
        <v>0</v>
      </c>
      <c r="Q674" s="89">
        <v>0</v>
      </c>
      <c r="R674" s="89">
        <v>0</v>
      </c>
      <c r="S674" s="89">
        <v>3634.0013886396</v>
      </c>
      <c r="T674"/>
      <c r="U674" t="s">
        <v>129</v>
      </c>
      <c r="V674" t="s">
        <v>129</v>
      </c>
      <c r="Y674" t="s">
        <v>1291</v>
      </c>
      <c r="Z674" t="s">
        <v>131</v>
      </c>
      <c r="AA674" s="90">
        <v>95521</v>
      </c>
      <c r="AB674" t="s">
        <v>581</v>
      </c>
      <c r="AC674" t="s">
        <v>0</v>
      </c>
      <c r="AD674" t="s">
        <v>143</v>
      </c>
    </row>
    <row r="675" spans="2:30" x14ac:dyDescent="0.25">
      <c r="B675">
        <v>100043</v>
      </c>
      <c r="C675" t="s">
        <v>1292</v>
      </c>
      <c r="D675">
        <v>2016</v>
      </c>
      <c r="F675" s="89">
        <v>197910.459243522</v>
      </c>
      <c r="G675" s="89" t="s">
        <v>128</v>
      </c>
      <c r="H675" s="89"/>
      <c r="I675" s="89">
        <v>4166.4592435221502</v>
      </c>
      <c r="J675" s="89">
        <v>193744</v>
      </c>
      <c r="K675" s="89">
        <v>0</v>
      </c>
      <c r="L675" s="89">
        <v>0</v>
      </c>
      <c r="M675" s="89">
        <v>0</v>
      </c>
      <c r="N675" s="89"/>
      <c r="O675" s="89">
        <v>0</v>
      </c>
      <c r="P675" s="89">
        <v>0</v>
      </c>
      <c r="Q675" s="89">
        <v>0</v>
      </c>
      <c r="R675" s="89">
        <v>0</v>
      </c>
      <c r="S675" s="89">
        <v>197910.459243522</v>
      </c>
      <c r="T675"/>
      <c r="U675" t="s">
        <v>155</v>
      </c>
      <c r="V675" t="s">
        <v>129</v>
      </c>
      <c r="W675" t="s">
        <v>156</v>
      </c>
      <c r="Y675" t="s">
        <v>383</v>
      </c>
      <c r="Z675" t="s">
        <v>131</v>
      </c>
      <c r="AA675" s="90">
        <v>96013</v>
      </c>
      <c r="AB675" t="s">
        <v>581</v>
      </c>
      <c r="AC675" t="s">
        <v>0</v>
      </c>
      <c r="AD675" t="s">
        <v>143</v>
      </c>
    </row>
    <row r="676" spans="2:30" x14ac:dyDescent="0.25">
      <c r="B676">
        <v>101680</v>
      </c>
      <c r="C676" t="s">
        <v>1293</v>
      </c>
      <c r="D676">
        <v>2016</v>
      </c>
      <c r="F676" s="89">
        <v>202083.62866350001</v>
      </c>
      <c r="G676" s="89" t="s">
        <v>128</v>
      </c>
      <c r="H676" s="89"/>
      <c r="I676" s="89">
        <v>4596.0286635000002</v>
      </c>
      <c r="J676" s="89">
        <v>197487.6</v>
      </c>
      <c r="K676" s="89">
        <v>0</v>
      </c>
      <c r="L676" s="89">
        <v>0</v>
      </c>
      <c r="M676" s="89">
        <v>0</v>
      </c>
      <c r="N676" s="89"/>
      <c r="O676" s="89">
        <v>0</v>
      </c>
      <c r="P676" s="89">
        <v>0</v>
      </c>
      <c r="Q676" s="89">
        <v>0</v>
      </c>
      <c r="R676" s="89">
        <v>0</v>
      </c>
      <c r="S676" s="89">
        <v>202083.62866350001</v>
      </c>
      <c r="T676"/>
      <c r="U676" t="s">
        <v>155</v>
      </c>
      <c r="V676" t="s">
        <v>129</v>
      </c>
      <c r="W676" t="s">
        <v>156</v>
      </c>
      <c r="Y676" t="s">
        <v>686</v>
      </c>
      <c r="Z676" t="s">
        <v>131</v>
      </c>
      <c r="AA676" s="90">
        <v>95648</v>
      </c>
      <c r="AB676" t="s">
        <v>581</v>
      </c>
      <c r="AC676" t="s">
        <v>0</v>
      </c>
      <c r="AD676" t="s">
        <v>143</v>
      </c>
    </row>
    <row r="677" spans="2:30" x14ac:dyDescent="0.25">
      <c r="B677">
        <v>101378</v>
      </c>
      <c r="C677" t="s">
        <v>1294</v>
      </c>
      <c r="D677">
        <v>2016</v>
      </c>
      <c r="F677" s="89">
        <v>289847.40550699999</v>
      </c>
      <c r="G677" s="89" t="s">
        <v>128</v>
      </c>
      <c r="H677" s="89"/>
      <c r="I677" s="89">
        <v>4488.4055070000004</v>
      </c>
      <c r="J677" s="89">
        <v>285359</v>
      </c>
      <c r="K677" s="89">
        <v>0</v>
      </c>
      <c r="L677" s="89">
        <v>0</v>
      </c>
      <c r="M677" s="89">
        <v>0</v>
      </c>
      <c r="N677" s="89"/>
      <c r="O677" s="89">
        <v>0</v>
      </c>
      <c r="P677" s="89">
        <v>0</v>
      </c>
      <c r="Q677" s="89">
        <v>0</v>
      </c>
      <c r="R677" s="89">
        <v>0</v>
      </c>
      <c r="S677" s="89">
        <v>289847.40550699999</v>
      </c>
      <c r="T677"/>
      <c r="U677" t="s">
        <v>155</v>
      </c>
      <c r="V677" t="s">
        <v>129</v>
      </c>
      <c r="W677" t="s">
        <v>156</v>
      </c>
      <c r="Y677" t="s">
        <v>1295</v>
      </c>
      <c r="Z677" t="s">
        <v>131</v>
      </c>
      <c r="AA677" s="90">
        <v>95971</v>
      </c>
      <c r="AB677" t="s">
        <v>581</v>
      </c>
      <c r="AC677" t="s">
        <v>0</v>
      </c>
      <c r="AD677" t="s">
        <v>143</v>
      </c>
    </row>
    <row r="678" spans="2:30" x14ac:dyDescent="0.25">
      <c r="B678">
        <v>101681</v>
      </c>
      <c r="C678" t="s">
        <v>1296</v>
      </c>
      <c r="D678">
        <v>2016</v>
      </c>
      <c r="F678" s="89">
        <v>51094.268164877198</v>
      </c>
      <c r="G678" s="89" t="s">
        <v>128</v>
      </c>
      <c r="H678" s="89"/>
      <c r="I678" s="89">
        <v>1051.76816487729</v>
      </c>
      <c r="J678" s="89">
        <v>50042.5</v>
      </c>
      <c r="K678" s="89">
        <v>0</v>
      </c>
      <c r="L678" s="89">
        <v>0</v>
      </c>
      <c r="M678" s="89">
        <v>0</v>
      </c>
      <c r="N678" s="89"/>
      <c r="O678" s="89">
        <v>0</v>
      </c>
      <c r="P678" s="89">
        <v>0</v>
      </c>
      <c r="Q678" s="89">
        <v>0</v>
      </c>
      <c r="R678" s="89">
        <v>0</v>
      </c>
      <c r="S678" s="89">
        <v>51094.268164877198</v>
      </c>
      <c r="T678"/>
      <c r="U678" t="s">
        <v>155</v>
      </c>
      <c r="V678" t="s">
        <v>129</v>
      </c>
      <c r="W678" t="s">
        <v>156</v>
      </c>
      <c r="Y678" t="s">
        <v>558</v>
      </c>
      <c r="Z678" t="s">
        <v>131</v>
      </c>
      <c r="AA678" s="90">
        <v>96019</v>
      </c>
      <c r="AB678" t="s">
        <v>581</v>
      </c>
      <c r="AC678" t="s">
        <v>0</v>
      </c>
      <c r="AD678" t="s">
        <v>143</v>
      </c>
    </row>
    <row r="679" spans="2:30" x14ac:dyDescent="0.25">
      <c r="B679">
        <v>101682</v>
      </c>
      <c r="C679" t="s">
        <v>1297</v>
      </c>
      <c r="D679">
        <v>2016</v>
      </c>
      <c r="F679" s="89">
        <v>139303.03973033201</v>
      </c>
      <c r="G679" s="89" t="s">
        <v>128</v>
      </c>
      <c r="H679" s="89"/>
      <c r="I679" s="89">
        <v>2588.9397303320402</v>
      </c>
      <c r="J679" s="89">
        <v>136714.1</v>
      </c>
      <c r="K679" s="89">
        <v>0</v>
      </c>
      <c r="L679" s="89">
        <v>0</v>
      </c>
      <c r="M679" s="89">
        <v>0</v>
      </c>
      <c r="N679" s="89"/>
      <c r="O679" s="89">
        <v>0</v>
      </c>
      <c r="P679" s="89">
        <v>0</v>
      </c>
      <c r="Q679" s="89">
        <v>0</v>
      </c>
      <c r="R679" s="89">
        <v>0</v>
      </c>
      <c r="S679" s="89">
        <v>139303.03973033201</v>
      </c>
      <c r="T679"/>
      <c r="U679" t="s">
        <v>155</v>
      </c>
      <c r="V679" t="s">
        <v>129</v>
      </c>
      <c r="W679" t="s">
        <v>156</v>
      </c>
      <c r="Y679" t="s">
        <v>1298</v>
      </c>
      <c r="Z679" t="s">
        <v>131</v>
      </c>
      <c r="AA679" s="90">
        <v>95370</v>
      </c>
      <c r="AB679" t="s">
        <v>581</v>
      </c>
      <c r="AC679" t="s">
        <v>0</v>
      </c>
      <c r="AD679" t="s">
        <v>143</v>
      </c>
    </row>
    <row r="680" spans="2:30" x14ac:dyDescent="0.25">
      <c r="B680">
        <v>2438</v>
      </c>
      <c r="C680" t="s">
        <v>1299</v>
      </c>
      <c r="D680">
        <v>2016</v>
      </c>
      <c r="F680" s="89">
        <v>97532.742719999995</v>
      </c>
      <c r="G680" s="89" t="s">
        <v>128</v>
      </c>
      <c r="H680" s="89"/>
      <c r="I680" s="89">
        <v>0</v>
      </c>
      <c r="J680" s="89">
        <v>0</v>
      </c>
      <c r="K680" s="89">
        <v>0</v>
      </c>
      <c r="L680" s="89">
        <v>0</v>
      </c>
      <c r="M680" s="89">
        <v>97532.742719999995</v>
      </c>
      <c r="N680" s="89"/>
      <c r="O680" s="89">
        <v>0</v>
      </c>
      <c r="P680" s="89">
        <v>0</v>
      </c>
      <c r="Q680" s="89">
        <v>97532.742719999995</v>
      </c>
      <c r="R680" s="89">
        <v>97532.742719999995</v>
      </c>
      <c r="S680" s="89">
        <v>0</v>
      </c>
      <c r="T680"/>
      <c r="U680" t="s">
        <v>155</v>
      </c>
      <c r="V680" t="s">
        <v>129</v>
      </c>
      <c r="W680" t="s">
        <v>222</v>
      </c>
      <c r="Y680" t="s">
        <v>1300</v>
      </c>
      <c r="Z680" t="s">
        <v>1008</v>
      </c>
      <c r="AA680" s="90">
        <v>89146</v>
      </c>
      <c r="AB680" t="s">
        <v>381</v>
      </c>
      <c r="AC680" t="s">
        <v>136</v>
      </c>
      <c r="AD680" t="s">
        <v>137</v>
      </c>
    </row>
    <row r="681" spans="2:30" x14ac:dyDescent="0.25">
      <c r="B681">
        <v>104090</v>
      </c>
      <c r="C681" t="s">
        <v>1301</v>
      </c>
      <c r="D681">
        <v>2016</v>
      </c>
      <c r="F681" s="89">
        <v>28084.484426773699</v>
      </c>
      <c r="G681" s="89" t="s">
        <v>128</v>
      </c>
      <c r="H681" s="89"/>
      <c r="I681" s="89">
        <v>28084.484426773699</v>
      </c>
      <c r="J681" s="89">
        <v>0</v>
      </c>
      <c r="K681" s="89">
        <v>0</v>
      </c>
      <c r="L681" s="89">
        <v>0</v>
      </c>
      <c r="M681" s="89">
        <v>0</v>
      </c>
      <c r="N681" s="89"/>
      <c r="O681" s="89">
        <v>28001.791450000001</v>
      </c>
      <c r="P681" s="89">
        <v>0</v>
      </c>
      <c r="Q681" s="89">
        <v>0</v>
      </c>
      <c r="R681" s="89">
        <v>28001.791450000001</v>
      </c>
      <c r="S681" s="89">
        <v>82.692976773720005</v>
      </c>
      <c r="T681"/>
      <c r="U681" t="s">
        <v>155</v>
      </c>
      <c r="V681" t="s">
        <v>155</v>
      </c>
      <c r="W681" t="s">
        <v>215</v>
      </c>
      <c r="Y681" t="s">
        <v>1302</v>
      </c>
      <c r="Z681" t="s">
        <v>131</v>
      </c>
      <c r="AA681" s="90">
        <v>90755</v>
      </c>
      <c r="AB681" t="s">
        <v>170</v>
      </c>
      <c r="AC681" t="s">
        <v>175</v>
      </c>
      <c r="AD681" t="s">
        <v>176</v>
      </c>
    </row>
    <row r="682" spans="2:30" x14ac:dyDescent="0.25">
      <c r="B682">
        <v>3061</v>
      </c>
      <c r="C682" t="s">
        <v>1303</v>
      </c>
      <c r="D682">
        <v>2016</v>
      </c>
      <c r="F682" s="89">
        <v>490788.863166189</v>
      </c>
      <c r="G682" s="89" t="s">
        <v>128</v>
      </c>
      <c r="H682" s="89"/>
      <c r="I682" s="89">
        <v>0</v>
      </c>
      <c r="J682" s="89">
        <v>0</v>
      </c>
      <c r="K682" s="89">
        <v>0</v>
      </c>
      <c r="L682" s="89">
        <v>0</v>
      </c>
      <c r="M682" s="89">
        <v>490788.863166189</v>
      </c>
      <c r="N682" s="89"/>
      <c r="O682" s="89">
        <v>0</v>
      </c>
      <c r="P682" s="89">
        <v>0</v>
      </c>
      <c r="Q682" s="89">
        <v>413557.11916618899</v>
      </c>
      <c r="R682" s="89">
        <v>413557.11916618899</v>
      </c>
      <c r="S682" s="89">
        <v>77231.744000000006</v>
      </c>
      <c r="T682"/>
      <c r="U682" t="s">
        <v>155</v>
      </c>
      <c r="V682" t="s">
        <v>129</v>
      </c>
      <c r="W682" t="s">
        <v>215</v>
      </c>
      <c r="Y682" t="s">
        <v>413</v>
      </c>
      <c r="Z682" t="s">
        <v>131</v>
      </c>
      <c r="AA682" s="90">
        <v>95050</v>
      </c>
      <c r="AB682" t="s">
        <v>158</v>
      </c>
      <c r="AC682" t="s">
        <v>136</v>
      </c>
      <c r="AD682" t="s">
        <v>137</v>
      </c>
    </row>
    <row r="683" spans="2:30" x14ac:dyDescent="0.25">
      <c r="B683">
        <v>101438</v>
      </c>
      <c r="C683" t="s">
        <v>1304</v>
      </c>
      <c r="D683">
        <v>2016</v>
      </c>
      <c r="F683" s="89">
        <v>38996.721808000002</v>
      </c>
      <c r="G683" s="89" t="s">
        <v>128</v>
      </c>
      <c r="H683" s="89"/>
      <c r="I683" s="89">
        <v>38996.721808000002</v>
      </c>
      <c r="J683" s="89">
        <v>0</v>
      </c>
      <c r="K683" s="89">
        <v>0</v>
      </c>
      <c r="L683" s="89">
        <v>0</v>
      </c>
      <c r="M683" s="89">
        <v>0</v>
      </c>
      <c r="N683" s="89"/>
      <c r="O683" s="89">
        <v>38996.721808000002</v>
      </c>
      <c r="P683" s="89">
        <v>0</v>
      </c>
      <c r="Q683" s="89">
        <v>0</v>
      </c>
      <c r="R683" s="89">
        <v>38996.721808000002</v>
      </c>
      <c r="S683" s="89">
        <v>0</v>
      </c>
      <c r="T683"/>
      <c r="U683" t="s">
        <v>155</v>
      </c>
      <c r="V683" t="s">
        <v>129</v>
      </c>
      <c r="W683" t="s">
        <v>215</v>
      </c>
      <c r="Y683" t="s">
        <v>413</v>
      </c>
      <c r="Z683" t="s">
        <v>131</v>
      </c>
      <c r="AA683" s="90">
        <v>95050</v>
      </c>
      <c r="AB683" t="s">
        <v>132</v>
      </c>
      <c r="AC683" t="s">
        <v>0</v>
      </c>
      <c r="AD683" t="s">
        <v>133</v>
      </c>
    </row>
    <row r="684" spans="2:30" x14ac:dyDescent="0.25">
      <c r="B684">
        <v>101436</v>
      </c>
      <c r="C684" t="s">
        <v>1305</v>
      </c>
      <c r="D684">
        <v>2016</v>
      </c>
      <c r="F684" s="89">
        <v>400837.33068479999</v>
      </c>
      <c r="G684" s="89" t="s">
        <v>128</v>
      </c>
      <c r="H684" s="89"/>
      <c r="I684" s="89">
        <v>400837.33068479999</v>
      </c>
      <c r="J684" s="89">
        <v>0</v>
      </c>
      <c r="K684" s="89">
        <v>0</v>
      </c>
      <c r="L684" s="89">
        <v>0</v>
      </c>
      <c r="M684" s="89">
        <v>0</v>
      </c>
      <c r="N684" s="89"/>
      <c r="O684" s="89">
        <v>400837.33068479999</v>
      </c>
      <c r="P684" s="89">
        <v>0</v>
      </c>
      <c r="Q684" s="89">
        <v>0</v>
      </c>
      <c r="R684" s="89">
        <v>400837.33068479999</v>
      </c>
      <c r="S684" s="89">
        <v>0</v>
      </c>
      <c r="T684"/>
      <c r="U684" t="s">
        <v>155</v>
      </c>
      <c r="V684" t="s">
        <v>129</v>
      </c>
      <c r="W684" t="s">
        <v>215</v>
      </c>
      <c r="Y684" t="s">
        <v>413</v>
      </c>
      <c r="Z684" t="s">
        <v>131</v>
      </c>
      <c r="AA684" s="90">
        <v>95054</v>
      </c>
      <c r="AB684" t="s">
        <v>132</v>
      </c>
      <c r="AC684" t="s">
        <v>385</v>
      </c>
      <c r="AD684" t="s">
        <v>140</v>
      </c>
    </row>
    <row r="685" spans="2:30" x14ac:dyDescent="0.25">
      <c r="B685">
        <v>104605</v>
      </c>
      <c r="C685" t="s">
        <v>1306</v>
      </c>
      <c r="D685">
        <v>2016</v>
      </c>
      <c r="F685" s="89">
        <v>8172.5936586267999</v>
      </c>
      <c r="G685" s="89" t="s">
        <v>128</v>
      </c>
      <c r="H685" s="89"/>
      <c r="I685" s="89">
        <v>40.9936586268037</v>
      </c>
      <c r="J685" s="89">
        <v>8131.6</v>
      </c>
      <c r="K685" s="89">
        <v>0</v>
      </c>
      <c r="L685" s="89">
        <v>0</v>
      </c>
      <c r="M685" s="89">
        <v>0</v>
      </c>
      <c r="N685" s="89"/>
      <c r="O685" s="89">
        <v>0</v>
      </c>
      <c r="P685" s="89">
        <v>0</v>
      </c>
      <c r="Q685" s="89">
        <v>0</v>
      </c>
      <c r="R685" s="89">
        <v>0</v>
      </c>
      <c r="S685" s="89">
        <v>8172.5936586267999</v>
      </c>
      <c r="T685"/>
      <c r="U685" t="s">
        <v>129</v>
      </c>
      <c r="V685" t="s">
        <v>129</v>
      </c>
      <c r="Y685" t="s">
        <v>1307</v>
      </c>
      <c r="Z685" t="s">
        <v>131</v>
      </c>
      <c r="AA685" s="90">
        <v>93065</v>
      </c>
      <c r="AB685" t="s">
        <v>723</v>
      </c>
      <c r="AC685" t="s">
        <v>0</v>
      </c>
      <c r="AD685" t="s">
        <v>143</v>
      </c>
    </row>
    <row r="686" spans="2:30" x14ac:dyDescent="0.25">
      <c r="B686">
        <v>101118</v>
      </c>
      <c r="C686" t="s">
        <v>1308</v>
      </c>
      <c r="D686">
        <v>2016</v>
      </c>
      <c r="F686" s="89">
        <v>29043.448433912999</v>
      </c>
      <c r="G686" s="89" t="s">
        <v>128</v>
      </c>
      <c r="H686" s="89"/>
      <c r="I686" s="89">
        <v>29043.448433912999</v>
      </c>
      <c r="J686" s="89">
        <v>0</v>
      </c>
      <c r="K686" s="89">
        <v>0</v>
      </c>
      <c r="L686" s="89">
        <v>0</v>
      </c>
      <c r="M686" s="89">
        <v>0</v>
      </c>
      <c r="N686" s="89"/>
      <c r="O686" s="89">
        <v>28115.279425600002</v>
      </c>
      <c r="P686" s="89">
        <v>0</v>
      </c>
      <c r="Q686" s="89">
        <v>0</v>
      </c>
      <c r="R686" s="89">
        <v>28115.279425600002</v>
      </c>
      <c r="S686" s="89">
        <v>928.16900831299995</v>
      </c>
      <c r="T686"/>
      <c r="U686" t="s">
        <v>155</v>
      </c>
      <c r="V686" t="s">
        <v>155</v>
      </c>
      <c r="W686" t="s">
        <v>168</v>
      </c>
      <c r="Y686" t="s">
        <v>283</v>
      </c>
      <c r="Z686" t="s">
        <v>131</v>
      </c>
      <c r="AA686" s="90">
        <v>92123</v>
      </c>
      <c r="AB686" t="s">
        <v>1036</v>
      </c>
      <c r="AC686" t="s">
        <v>0</v>
      </c>
      <c r="AD686" t="s">
        <v>143</v>
      </c>
    </row>
    <row r="687" spans="2:30" x14ac:dyDescent="0.25">
      <c r="B687">
        <v>104537</v>
      </c>
      <c r="C687" t="s">
        <v>1309</v>
      </c>
      <c r="D687">
        <v>2016</v>
      </c>
      <c r="F687" s="89">
        <v>0</v>
      </c>
      <c r="G687" s="89" t="s">
        <v>128</v>
      </c>
      <c r="H687" s="89"/>
      <c r="I687" s="89">
        <v>0</v>
      </c>
      <c r="J687" s="89">
        <v>0</v>
      </c>
      <c r="K687" s="89">
        <v>0</v>
      </c>
      <c r="L687" s="89">
        <v>0</v>
      </c>
      <c r="M687" s="89">
        <v>0</v>
      </c>
      <c r="N687" s="89"/>
      <c r="O687" s="89">
        <v>0</v>
      </c>
      <c r="P687" s="89">
        <v>0</v>
      </c>
      <c r="Q687" s="89">
        <v>0</v>
      </c>
      <c r="R687" s="89">
        <v>0</v>
      </c>
      <c r="S687" s="89">
        <v>0</v>
      </c>
      <c r="T687"/>
      <c r="U687" t="s">
        <v>129</v>
      </c>
      <c r="V687" t="s">
        <v>129</v>
      </c>
      <c r="Y687" t="s">
        <v>1310</v>
      </c>
      <c r="Z687" t="s">
        <v>131</v>
      </c>
      <c r="AA687" s="90">
        <v>95404</v>
      </c>
      <c r="AB687" t="s">
        <v>158</v>
      </c>
      <c r="AC687" t="s">
        <v>136</v>
      </c>
      <c r="AD687" t="s">
        <v>137</v>
      </c>
    </row>
    <row r="688" spans="2:30" x14ac:dyDescent="0.25">
      <c r="B688">
        <v>100096</v>
      </c>
      <c r="C688" t="s">
        <v>1311</v>
      </c>
      <c r="D688">
        <v>2016</v>
      </c>
      <c r="F688" s="89">
        <v>37347.979190283397</v>
      </c>
      <c r="G688" s="89" t="s">
        <v>128</v>
      </c>
      <c r="H688" s="89"/>
      <c r="I688" s="89">
        <v>187.37919028346499</v>
      </c>
      <c r="J688" s="89">
        <v>37160.6</v>
      </c>
      <c r="K688" s="89">
        <v>0</v>
      </c>
      <c r="L688" s="89">
        <v>0</v>
      </c>
      <c r="M688" s="89">
        <v>0</v>
      </c>
      <c r="N688" s="89"/>
      <c r="O688" s="89">
        <v>0</v>
      </c>
      <c r="P688" s="89">
        <v>0</v>
      </c>
      <c r="Q688" s="89">
        <v>0</v>
      </c>
      <c r="R688" s="89">
        <v>0</v>
      </c>
      <c r="S688" s="89">
        <v>37347.979190283397</v>
      </c>
      <c r="T688"/>
      <c r="U688" t="s">
        <v>155</v>
      </c>
      <c r="V688" t="s">
        <v>129</v>
      </c>
      <c r="W688" t="s">
        <v>156</v>
      </c>
      <c r="Y688" t="s">
        <v>1312</v>
      </c>
      <c r="Z688" t="s">
        <v>131</v>
      </c>
      <c r="AA688" s="90">
        <v>94952</v>
      </c>
      <c r="AB688" t="s">
        <v>723</v>
      </c>
      <c r="AC688" t="s">
        <v>0</v>
      </c>
      <c r="AD688" t="s">
        <v>140</v>
      </c>
    </row>
    <row r="689" spans="2:30" x14ac:dyDescent="0.25">
      <c r="B689">
        <v>104612</v>
      </c>
      <c r="C689" t="s">
        <v>1313</v>
      </c>
      <c r="D689">
        <v>2016</v>
      </c>
      <c r="F689" s="89">
        <v>9603.4314720000002</v>
      </c>
      <c r="G689" s="89" t="s">
        <v>128</v>
      </c>
      <c r="H689" s="89"/>
      <c r="I689" s="89">
        <v>9603.4314720000002</v>
      </c>
      <c r="J689" s="89">
        <v>0</v>
      </c>
      <c r="K689" s="89">
        <v>0</v>
      </c>
      <c r="L689" s="89">
        <v>0</v>
      </c>
      <c r="M689" s="89">
        <v>0</v>
      </c>
      <c r="N689" s="89"/>
      <c r="O689" s="89">
        <v>0</v>
      </c>
      <c r="P689" s="89">
        <v>0</v>
      </c>
      <c r="Q689" s="89">
        <v>0</v>
      </c>
      <c r="R689" s="89">
        <v>0</v>
      </c>
      <c r="S689" s="89">
        <v>9603.4314720000002</v>
      </c>
      <c r="T689"/>
      <c r="U689" t="s">
        <v>129</v>
      </c>
      <c r="V689" t="s">
        <v>129</v>
      </c>
      <c r="Y689" t="s">
        <v>1314</v>
      </c>
      <c r="Z689" t="s">
        <v>131</v>
      </c>
      <c r="AA689" s="90">
        <v>95431</v>
      </c>
      <c r="AB689" t="s">
        <v>1315</v>
      </c>
      <c r="AC689" t="s">
        <v>0</v>
      </c>
      <c r="AD689" t="s">
        <v>143</v>
      </c>
    </row>
    <row r="690" spans="2:30" x14ac:dyDescent="0.25">
      <c r="B690">
        <v>100063</v>
      </c>
      <c r="C690" t="s">
        <v>1316</v>
      </c>
      <c r="D690">
        <v>2016</v>
      </c>
      <c r="F690" s="89">
        <v>386728.00126799999</v>
      </c>
      <c r="G690" s="89" t="s">
        <v>128</v>
      </c>
      <c r="H690" s="89"/>
      <c r="I690" s="89">
        <v>137308.00126799999</v>
      </c>
      <c r="J690" s="89">
        <v>249420</v>
      </c>
      <c r="K690" s="89">
        <v>0</v>
      </c>
      <c r="L690" s="89">
        <v>0</v>
      </c>
      <c r="M690" s="89">
        <v>0</v>
      </c>
      <c r="N690" s="89"/>
      <c r="O690" s="89">
        <v>137308.00126799999</v>
      </c>
      <c r="P690" s="89">
        <v>0</v>
      </c>
      <c r="Q690" s="89">
        <v>0</v>
      </c>
      <c r="R690" s="89">
        <v>137308.00126799999</v>
      </c>
      <c r="S690" s="89">
        <v>249420</v>
      </c>
      <c r="T690"/>
      <c r="U690" t="s">
        <v>155</v>
      </c>
      <c r="V690" t="s">
        <v>129</v>
      </c>
      <c r="W690" t="s">
        <v>368</v>
      </c>
      <c r="Y690" t="s">
        <v>185</v>
      </c>
      <c r="Z690" t="s">
        <v>131</v>
      </c>
      <c r="AA690" s="90">
        <v>90802</v>
      </c>
      <c r="AB690" t="s">
        <v>604</v>
      </c>
      <c r="AC690" t="s">
        <v>0</v>
      </c>
      <c r="AD690" t="s">
        <v>140</v>
      </c>
    </row>
    <row r="691" spans="2:30" x14ac:dyDescent="0.25">
      <c r="B691">
        <v>101539</v>
      </c>
      <c r="C691" t="s">
        <v>1317</v>
      </c>
      <c r="D691">
        <v>2016</v>
      </c>
      <c r="F691" s="89">
        <v>15576.409019999999</v>
      </c>
      <c r="G691" s="89" t="s">
        <v>128</v>
      </c>
      <c r="H691" s="89"/>
      <c r="I691" s="89">
        <v>15576.409019999999</v>
      </c>
      <c r="J691" s="89">
        <v>0</v>
      </c>
      <c r="K691" s="89">
        <v>0</v>
      </c>
      <c r="L691" s="89">
        <v>0</v>
      </c>
      <c r="M691" s="89">
        <v>0</v>
      </c>
      <c r="N691" s="89"/>
      <c r="O691" s="89">
        <v>0</v>
      </c>
      <c r="P691" s="89">
        <v>0</v>
      </c>
      <c r="Q691" s="89">
        <v>0</v>
      </c>
      <c r="R691" s="89">
        <v>0</v>
      </c>
      <c r="S691" s="89">
        <v>15576.409019999999</v>
      </c>
      <c r="T691"/>
      <c r="U691" t="s">
        <v>129</v>
      </c>
      <c r="V691" t="s">
        <v>129</v>
      </c>
      <c r="Y691" t="s">
        <v>1318</v>
      </c>
      <c r="Z691" t="s">
        <v>131</v>
      </c>
      <c r="AA691" s="90">
        <v>90680</v>
      </c>
      <c r="AB691" t="s">
        <v>132</v>
      </c>
      <c r="AC691" t="s">
        <v>1</v>
      </c>
      <c r="AD691" t="s">
        <v>140</v>
      </c>
    </row>
    <row r="692" spans="2:30" x14ac:dyDescent="0.25">
      <c r="B692">
        <v>101537</v>
      </c>
      <c r="C692" t="s">
        <v>1319</v>
      </c>
      <c r="D692">
        <v>2016</v>
      </c>
      <c r="F692" s="89">
        <v>14798.660064</v>
      </c>
      <c r="G692" s="89" t="s">
        <v>128</v>
      </c>
      <c r="H692" s="89"/>
      <c r="I692" s="89">
        <v>14798.660064</v>
      </c>
      <c r="J692" s="89">
        <v>0</v>
      </c>
      <c r="K692" s="89">
        <v>0</v>
      </c>
      <c r="L692" s="89">
        <v>0</v>
      </c>
      <c r="M692" s="89">
        <v>0</v>
      </c>
      <c r="N692" s="89"/>
      <c r="O692" s="89">
        <v>0</v>
      </c>
      <c r="P692" s="89">
        <v>0</v>
      </c>
      <c r="Q692" s="89">
        <v>0</v>
      </c>
      <c r="R692" s="89">
        <v>0</v>
      </c>
      <c r="S692" s="89">
        <v>14798.660064</v>
      </c>
      <c r="T692"/>
      <c r="U692" t="s">
        <v>129</v>
      </c>
      <c r="V692" t="s">
        <v>129</v>
      </c>
      <c r="Y692" t="s">
        <v>1320</v>
      </c>
      <c r="Z692" t="s">
        <v>131</v>
      </c>
      <c r="AA692" s="90">
        <v>90650</v>
      </c>
      <c r="AB692" t="s">
        <v>132</v>
      </c>
      <c r="AC692" t="s">
        <v>1</v>
      </c>
      <c r="AD692" t="s">
        <v>140</v>
      </c>
    </row>
    <row r="693" spans="2:30" x14ac:dyDescent="0.25">
      <c r="B693">
        <v>3005</v>
      </c>
      <c r="C693" t="s">
        <v>1321</v>
      </c>
      <c r="D693">
        <v>2016</v>
      </c>
      <c r="F693" s="89">
        <v>1528992.8990219999</v>
      </c>
      <c r="G693" s="89" t="s">
        <v>128</v>
      </c>
      <c r="H693" s="89"/>
      <c r="I693" s="89">
        <v>0</v>
      </c>
      <c r="J693" s="89">
        <v>0</v>
      </c>
      <c r="K693" s="89">
        <v>0</v>
      </c>
      <c r="L693" s="89">
        <v>0</v>
      </c>
      <c r="M693" s="89">
        <v>1528992.8990219999</v>
      </c>
      <c r="N693" s="89"/>
      <c r="O693" s="89">
        <v>0</v>
      </c>
      <c r="P693" s="89">
        <v>0</v>
      </c>
      <c r="Q693" s="89">
        <v>756274.85102200101</v>
      </c>
      <c r="R693" s="89">
        <v>756274.85102200101</v>
      </c>
      <c r="S693" s="89">
        <v>772718.04799999902</v>
      </c>
      <c r="T693"/>
      <c r="U693" t="s">
        <v>155</v>
      </c>
      <c r="V693" t="s">
        <v>129</v>
      </c>
      <c r="W693" t="s">
        <v>168</v>
      </c>
      <c r="Y693" t="s">
        <v>1322</v>
      </c>
      <c r="Z693" t="s">
        <v>131</v>
      </c>
      <c r="AA693" s="90">
        <v>91770</v>
      </c>
      <c r="AB693" t="s">
        <v>381</v>
      </c>
      <c r="AC693" t="s">
        <v>136</v>
      </c>
      <c r="AD693" t="s">
        <v>137</v>
      </c>
    </row>
    <row r="694" spans="2:30" x14ac:dyDescent="0.25">
      <c r="B694">
        <v>101538</v>
      </c>
      <c r="C694" t="s">
        <v>1323</v>
      </c>
      <c r="D694">
        <v>2016</v>
      </c>
      <c r="F694" s="89">
        <v>17887.636232000001</v>
      </c>
      <c r="G694" s="89" t="s">
        <v>128</v>
      </c>
      <c r="H694" s="89"/>
      <c r="I694" s="89">
        <v>17887.636232000001</v>
      </c>
      <c r="J694" s="89">
        <v>0</v>
      </c>
      <c r="K694" s="89">
        <v>0</v>
      </c>
      <c r="L694" s="89">
        <v>0</v>
      </c>
      <c r="M694" s="89">
        <v>0</v>
      </c>
      <c r="N694" s="89"/>
      <c r="O694" s="89">
        <v>0</v>
      </c>
      <c r="P694" s="89">
        <v>0</v>
      </c>
      <c r="Q694" s="89">
        <v>0</v>
      </c>
      <c r="R694" s="89">
        <v>0</v>
      </c>
      <c r="S694" s="89">
        <v>17887.636232000001</v>
      </c>
      <c r="T694"/>
      <c r="U694" t="s">
        <v>129</v>
      </c>
      <c r="V694" t="s">
        <v>129</v>
      </c>
      <c r="Y694" t="s">
        <v>693</v>
      </c>
      <c r="Z694" t="s">
        <v>131</v>
      </c>
      <c r="AA694" s="90">
        <v>91739</v>
      </c>
      <c r="AB694" t="s">
        <v>132</v>
      </c>
      <c r="AC694" t="s">
        <v>1</v>
      </c>
      <c r="AD694" t="s">
        <v>140</v>
      </c>
    </row>
    <row r="695" spans="2:30" x14ac:dyDescent="0.25">
      <c r="B695">
        <v>104326</v>
      </c>
      <c r="C695" t="s">
        <v>1324</v>
      </c>
      <c r="D695">
        <v>2016</v>
      </c>
      <c r="F695" s="89">
        <v>16951.833200000001</v>
      </c>
      <c r="G695" s="89" t="s">
        <v>128</v>
      </c>
      <c r="H695" s="89"/>
      <c r="I695" s="89">
        <v>16951.833200000001</v>
      </c>
      <c r="J695" s="89">
        <v>0</v>
      </c>
      <c r="K695" s="89">
        <v>0</v>
      </c>
      <c r="L695" s="89">
        <v>0</v>
      </c>
      <c r="M695" s="89">
        <v>0</v>
      </c>
      <c r="N695" s="89"/>
      <c r="O695" s="89">
        <v>0</v>
      </c>
      <c r="P695" s="89">
        <v>0</v>
      </c>
      <c r="Q695" s="89">
        <v>0</v>
      </c>
      <c r="R695" s="89">
        <v>0</v>
      </c>
      <c r="S695" s="89">
        <v>16951.833200000001</v>
      </c>
      <c r="T695"/>
      <c r="U695" t="s">
        <v>129</v>
      </c>
      <c r="V695" t="s">
        <v>129</v>
      </c>
      <c r="Y695" t="s">
        <v>289</v>
      </c>
      <c r="Z695" t="s">
        <v>131</v>
      </c>
      <c r="AA695" s="90">
        <v>93035</v>
      </c>
      <c r="AB695" t="s">
        <v>132</v>
      </c>
      <c r="AC695" t="s">
        <v>1</v>
      </c>
      <c r="AD695" t="s">
        <v>140</v>
      </c>
    </row>
    <row r="696" spans="2:30" x14ac:dyDescent="0.25">
      <c r="B696">
        <v>100394</v>
      </c>
      <c r="C696" t="s">
        <v>1325</v>
      </c>
      <c r="D696">
        <v>2016</v>
      </c>
      <c r="F696" s="89">
        <v>17860.210856000002</v>
      </c>
      <c r="G696" s="89" t="s">
        <v>128</v>
      </c>
      <c r="H696" s="89"/>
      <c r="I696" s="89">
        <v>17860.210856000002</v>
      </c>
      <c r="J696" s="89">
        <v>0</v>
      </c>
      <c r="K696" s="89">
        <v>0</v>
      </c>
      <c r="L696" s="89">
        <v>0</v>
      </c>
      <c r="M696" s="89">
        <v>0</v>
      </c>
      <c r="N696" s="89"/>
      <c r="O696" s="89">
        <v>0</v>
      </c>
      <c r="P696" s="89">
        <v>0</v>
      </c>
      <c r="Q696" s="89">
        <v>0</v>
      </c>
      <c r="R696" s="89">
        <v>0</v>
      </c>
      <c r="S696" s="89">
        <v>17860.210856000002</v>
      </c>
      <c r="T696"/>
      <c r="U696" t="s">
        <v>129</v>
      </c>
      <c r="V696" t="s">
        <v>129</v>
      </c>
      <c r="Y696" t="s">
        <v>1013</v>
      </c>
      <c r="Z696" t="s">
        <v>131</v>
      </c>
      <c r="AA696" s="90">
        <v>91761</v>
      </c>
      <c r="AB696" t="s">
        <v>132</v>
      </c>
      <c r="AC696" t="s">
        <v>1</v>
      </c>
      <c r="AD696" t="s">
        <v>140</v>
      </c>
    </row>
    <row r="697" spans="2:30" x14ac:dyDescent="0.25">
      <c r="B697">
        <v>100344</v>
      </c>
      <c r="C697" t="s">
        <v>1326</v>
      </c>
      <c r="D697">
        <v>2016</v>
      </c>
      <c r="F697" s="89">
        <v>1942290.6205543999</v>
      </c>
      <c r="G697" s="89" t="s">
        <v>128</v>
      </c>
      <c r="H697" s="89"/>
      <c r="I697" s="89">
        <v>1942290.6205543999</v>
      </c>
      <c r="J697" s="89">
        <v>0</v>
      </c>
      <c r="K697" s="89">
        <v>0</v>
      </c>
      <c r="L697" s="89">
        <v>0</v>
      </c>
      <c r="M697" s="89">
        <v>0</v>
      </c>
      <c r="N697" s="89"/>
      <c r="O697" s="89">
        <v>1942290.6205543999</v>
      </c>
      <c r="P697" s="89">
        <v>0</v>
      </c>
      <c r="Q697" s="89">
        <v>0</v>
      </c>
      <c r="R697" s="89">
        <v>1942290.6205543999</v>
      </c>
      <c r="S697" s="89">
        <v>0</v>
      </c>
      <c r="T697"/>
      <c r="U697" t="s">
        <v>155</v>
      </c>
      <c r="V697" t="s">
        <v>129</v>
      </c>
      <c r="W697" t="s">
        <v>168</v>
      </c>
      <c r="Y697" t="s">
        <v>1327</v>
      </c>
      <c r="Z697" t="s">
        <v>131</v>
      </c>
      <c r="AA697" s="90">
        <v>92374</v>
      </c>
      <c r="AB697" t="s">
        <v>132</v>
      </c>
      <c r="AC697" t="s">
        <v>385</v>
      </c>
      <c r="AD697" t="s">
        <v>140</v>
      </c>
    </row>
    <row r="698" spans="2:30" x14ac:dyDescent="0.25">
      <c r="B698">
        <v>101673</v>
      </c>
      <c r="C698" t="s">
        <v>1328</v>
      </c>
      <c r="D698">
        <v>2016</v>
      </c>
      <c r="F698" s="89">
        <v>22767.663392592702</v>
      </c>
      <c r="G698" s="89" t="s">
        <v>128</v>
      </c>
      <c r="H698" s="89"/>
      <c r="I698" s="89">
        <v>22767.663392592702</v>
      </c>
      <c r="J698" s="89">
        <v>0</v>
      </c>
      <c r="K698" s="89">
        <v>0</v>
      </c>
      <c r="L698" s="89">
        <v>0</v>
      </c>
      <c r="M698" s="89">
        <v>0</v>
      </c>
      <c r="N698" s="89"/>
      <c r="O698" s="89">
        <v>0</v>
      </c>
      <c r="P698" s="89">
        <v>0</v>
      </c>
      <c r="Q698" s="89">
        <v>0</v>
      </c>
      <c r="R698" s="89">
        <v>0</v>
      </c>
      <c r="S698" s="89">
        <v>22767.663392592702</v>
      </c>
      <c r="T698"/>
      <c r="U698" t="s">
        <v>129</v>
      </c>
      <c r="V698" t="s">
        <v>129</v>
      </c>
      <c r="Y698" t="s">
        <v>1329</v>
      </c>
      <c r="Z698" t="s">
        <v>131</v>
      </c>
      <c r="AA698" s="90">
        <v>90704</v>
      </c>
      <c r="AB698" t="s">
        <v>132</v>
      </c>
      <c r="AC698" t="s">
        <v>0</v>
      </c>
      <c r="AD698" t="s">
        <v>140</v>
      </c>
    </row>
    <row r="699" spans="2:30" x14ac:dyDescent="0.25">
      <c r="B699">
        <v>101349</v>
      </c>
      <c r="C699" t="s">
        <v>1330</v>
      </c>
      <c r="D699">
        <v>2016</v>
      </c>
      <c r="F699" s="89">
        <v>9306.8703836749592</v>
      </c>
      <c r="G699" s="89" t="s">
        <v>128</v>
      </c>
      <c r="H699" s="89"/>
      <c r="I699" s="89">
        <v>9306.8703836749592</v>
      </c>
      <c r="J699" s="89">
        <v>0</v>
      </c>
      <c r="K699" s="89">
        <v>0</v>
      </c>
      <c r="L699" s="89">
        <v>0</v>
      </c>
      <c r="M699" s="89">
        <v>0</v>
      </c>
      <c r="N699" s="89"/>
      <c r="O699" s="89">
        <v>3333.3159485557599</v>
      </c>
      <c r="P699" s="89">
        <v>0</v>
      </c>
      <c r="Q699" s="89">
        <v>0</v>
      </c>
      <c r="R699" s="89">
        <v>3333.3159485557599</v>
      </c>
      <c r="S699" s="89">
        <v>5973.5544351191902</v>
      </c>
      <c r="T699"/>
      <c r="U699" t="s">
        <v>155</v>
      </c>
      <c r="V699" t="s">
        <v>129</v>
      </c>
      <c r="W699" t="s">
        <v>645</v>
      </c>
      <c r="Y699" t="s">
        <v>1331</v>
      </c>
      <c r="Z699" t="s">
        <v>131</v>
      </c>
      <c r="AA699" s="90">
        <v>91326</v>
      </c>
      <c r="AB699" t="s">
        <v>451</v>
      </c>
      <c r="AC699" t="s">
        <v>175</v>
      </c>
      <c r="AD699" t="s">
        <v>176</v>
      </c>
    </row>
    <row r="700" spans="2:30" x14ac:dyDescent="0.25">
      <c r="B700">
        <v>101675</v>
      </c>
      <c r="C700" t="s">
        <v>1332</v>
      </c>
      <c r="D700">
        <v>2016</v>
      </c>
      <c r="F700" s="89">
        <v>39883.883487999999</v>
      </c>
      <c r="G700" s="89" t="s">
        <v>128</v>
      </c>
      <c r="H700" s="89"/>
      <c r="I700" s="89">
        <v>39883.883487999999</v>
      </c>
      <c r="J700" s="89">
        <v>0</v>
      </c>
      <c r="K700" s="89">
        <v>0</v>
      </c>
      <c r="L700" s="89">
        <v>0</v>
      </c>
      <c r="M700" s="89">
        <v>0</v>
      </c>
      <c r="N700" s="89"/>
      <c r="O700" s="89">
        <v>29391.989675000001</v>
      </c>
      <c r="P700" s="89">
        <v>0</v>
      </c>
      <c r="Q700" s="89">
        <v>0</v>
      </c>
      <c r="R700" s="89">
        <v>29391.989675000001</v>
      </c>
      <c r="S700" s="89">
        <v>10491.893813000001</v>
      </c>
      <c r="T700"/>
      <c r="U700" t="s">
        <v>155</v>
      </c>
      <c r="V700" t="s">
        <v>129</v>
      </c>
      <c r="W700" t="s">
        <v>645</v>
      </c>
      <c r="Y700" t="s">
        <v>340</v>
      </c>
      <c r="Z700" t="s">
        <v>131</v>
      </c>
      <c r="AA700" s="90">
        <v>92225</v>
      </c>
      <c r="AB700" t="s">
        <v>451</v>
      </c>
      <c r="AC700" t="s">
        <v>175</v>
      </c>
      <c r="AD700" t="s">
        <v>176</v>
      </c>
    </row>
    <row r="701" spans="2:30" x14ac:dyDescent="0.25">
      <c r="B701">
        <v>104082</v>
      </c>
      <c r="C701" t="s">
        <v>1333</v>
      </c>
      <c r="D701">
        <v>2016</v>
      </c>
      <c r="F701" s="89">
        <v>1365525.5685022001</v>
      </c>
      <c r="G701" s="89" t="s">
        <v>128</v>
      </c>
      <c r="H701" s="89"/>
      <c r="I701" s="89">
        <v>1365525.5685022001</v>
      </c>
      <c r="J701" s="89">
        <v>0</v>
      </c>
      <c r="K701" s="89">
        <v>0</v>
      </c>
      <c r="L701" s="89">
        <v>0</v>
      </c>
      <c r="M701" s="89">
        <v>0</v>
      </c>
      <c r="N701" s="89"/>
      <c r="O701" s="89">
        <v>0</v>
      </c>
      <c r="P701" s="89">
        <v>0</v>
      </c>
      <c r="Q701" s="89">
        <v>0</v>
      </c>
      <c r="R701" s="89">
        <v>0</v>
      </c>
      <c r="S701" s="89">
        <v>1365525.5685022001</v>
      </c>
      <c r="T701"/>
      <c r="U701" t="s">
        <v>155</v>
      </c>
      <c r="V701" t="s">
        <v>129</v>
      </c>
      <c r="W701" t="s">
        <v>645</v>
      </c>
      <c r="Y701" t="s">
        <v>320</v>
      </c>
      <c r="Z701" t="s">
        <v>131</v>
      </c>
      <c r="AA701" s="90">
        <v>90013</v>
      </c>
      <c r="AB701" t="s">
        <v>550</v>
      </c>
      <c r="AC701" t="s">
        <v>63</v>
      </c>
      <c r="AD701" t="s">
        <v>176</v>
      </c>
    </row>
    <row r="702" spans="2:30" x14ac:dyDescent="0.25">
      <c r="B702">
        <v>100915</v>
      </c>
      <c r="C702" t="s">
        <v>1334</v>
      </c>
      <c r="D702">
        <v>2016</v>
      </c>
      <c r="F702" s="89">
        <v>40813.771988443899</v>
      </c>
      <c r="G702" s="89" t="s">
        <v>128</v>
      </c>
      <c r="H702" s="89"/>
      <c r="I702" s="89">
        <v>40813.771988443899</v>
      </c>
      <c r="J702" s="89">
        <v>0</v>
      </c>
      <c r="K702" s="89">
        <v>0</v>
      </c>
      <c r="L702" s="89">
        <v>0</v>
      </c>
      <c r="M702" s="89">
        <v>0</v>
      </c>
      <c r="N702" s="89"/>
      <c r="O702" s="89">
        <v>35243.176273927304</v>
      </c>
      <c r="P702" s="89">
        <v>0</v>
      </c>
      <c r="Q702" s="89">
        <v>0</v>
      </c>
      <c r="R702" s="89">
        <v>35243.176273927304</v>
      </c>
      <c r="S702" s="89">
        <v>5570.5957145166203</v>
      </c>
      <c r="T702"/>
      <c r="U702" t="s">
        <v>155</v>
      </c>
      <c r="V702" t="s">
        <v>129</v>
      </c>
      <c r="W702" t="s">
        <v>645</v>
      </c>
      <c r="Y702" t="s">
        <v>1335</v>
      </c>
      <c r="Z702" t="s">
        <v>131</v>
      </c>
      <c r="AA702" s="90">
        <v>91355</v>
      </c>
      <c r="AB702" t="s">
        <v>451</v>
      </c>
      <c r="AC702" t="s">
        <v>175</v>
      </c>
      <c r="AD702" t="s">
        <v>176</v>
      </c>
    </row>
    <row r="703" spans="2:30" x14ac:dyDescent="0.25">
      <c r="B703">
        <v>101348</v>
      </c>
      <c r="C703" t="s">
        <v>1336</v>
      </c>
      <c r="D703">
        <v>2016</v>
      </c>
      <c r="F703" s="89">
        <v>3556.0209289999998</v>
      </c>
      <c r="G703" s="89" t="s">
        <v>128</v>
      </c>
      <c r="H703" s="89"/>
      <c r="I703" s="89">
        <v>3556.0209289999998</v>
      </c>
      <c r="J703" s="89">
        <v>0</v>
      </c>
      <c r="K703" s="89">
        <v>0</v>
      </c>
      <c r="L703" s="89">
        <v>0</v>
      </c>
      <c r="M703" s="89">
        <v>0</v>
      </c>
      <c r="N703" s="89"/>
      <c r="O703" s="89">
        <v>0</v>
      </c>
      <c r="P703" s="89">
        <v>0</v>
      </c>
      <c r="Q703" s="89">
        <v>0</v>
      </c>
      <c r="R703" s="89">
        <v>0</v>
      </c>
      <c r="S703" s="89">
        <v>3556.0209289999998</v>
      </c>
      <c r="T703"/>
      <c r="U703" t="s">
        <v>129</v>
      </c>
      <c r="V703" t="s">
        <v>129</v>
      </c>
      <c r="Y703" t="s">
        <v>1337</v>
      </c>
      <c r="Z703" t="s">
        <v>131</v>
      </c>
      <c r="AA703" s="90">
        <v>92365</v>
      </c>
      <c r="AB703" t="s">
        <v>451</v>
      </c>
      <c r="AC703" t="s">
        <v>0</v>
      </c>
      <c r="AD703" t="s">
        <v>143</v>
      </c>
    </row>
    <row r="704" spans="2:30" x14ac:dyDescent="0.25">
      <c r="B704">
        <v>101346</v>
      </c>
      <c r="C704" t="s">
        <v>1338</v>
      </c>
      <c r="D704">
        <v>2016</v>
      </c>
      <c r="F704" s="89">
        <v>7512.8515539999999</v>
      </c>
      <c r="G704" s="89" t="s">
        <v>128</v>
      </c>
      <c r="H704" s="89"/>
      <c r="I704" s="89">
        <v>7512.8515539999999</v>
      </c>
      <c r="J704" s="89">
        <v>0</v>
      </c>
      <c r="K704" s="89">
        <v>0</v>
      </c>
      <c r="L704" s="89">
        <v>0</v>
      </c>
      <c r="M704" s="89">
        <v>0</v>
      </c>
      <c r="N704" s="89"/>
      <c r="O704" s="89">
        <v>5955.424532</v>
      </c>
      <c r="P704" s="89">
        <v>0</v>
      </c>
      <c r="Q704" s="89">
        <v>0</v>
      </c>
      <c r="R704" s="89">
        <v>5955.424532</v>
      </c>
      <c r="S704" s="89">
        <v>1557.4270220000001</v>
      </c>
      <c r="T704"/>
      <c r="U704" t="s">
        <v>155</v>
      </c>
      <c r="V704" t="s">
        <v>129</v>
      </c>
      <c r="W704" t="s">
        <v>645</v>
      </c>
      <c r="Y704" t="s">
        <v>546</v>
      </c>
      <c r="Z704" t="s">
        <v>131</v>
      </c>
      <c r="AA704" s="90">
        <v>92363</v>
      </c>
      <c r="AB704" t="s">
        <v>451</v>
      </c>
      <c r="AC704" t="s">
        <v>175</v>
      </c>
      <c r="AD704" t="s">
        <v>176</v>
      </c>
    </row>
    <row r="705" spans="2:30" x14ac:dyDescent="0.25">
      <c r="B705">
        <v>104220</v>
      </c>
      <c r="C705" t="s">
        <v>1339</v>
      </c>
      <c r="D705">
        <v>2016</v>
      </c>
      <c r="F705" s="89">
        <v>15578.539444</v>
      </c>
      <c r="G705" s="89" t="s">
        <v>128</v>
      </c>
      <c r="H705" s="89"/>
      <c r="I705" s="89">
        <v>15578.539444</v>
      </c>
      <c r="J705" s="89">
        <v>0</v>
      </c>
      <c r="K705" s="89">
        <v>0</v>
      </c>
      <c r="L705" s="89">
        <v>0</v>
      </c>
      <c r="M705" s="89">
        <v>0</v>
      </c>
      <c r="N705" s="89"/>
      <c r="O705" s="89">
        <v>12786.867444</v>
      </c>
      <c r="P705" s="89">
        <v>0</v>
      </c>
      <c r="Q705" s="89">
        <v>0</v>
      </c>
      <c r="R705" s="89">
        <v>12786.867444</v>
      </c>
      <c r="S705" s="89">
        <v>2791.672</v>
      </c>
      <c r="T705"/>
      <c r="U705" t="s">
        <v>155</v>
      </c>
      <c r="V705" t="s">
        <v>129</v>
      </c>
      <c r="W705" t="s">
        <v>645</v>
      </c>
      <c r="Y705" t="s">
        <v>681</v>
      </c>
      <c r="Z705" t="s">
        <v>131</v>
      </c>
      <c r="AA705" s="90">
        <v>93313</v>
      </c>
      <c r="AB705" t="s">
        <v>451</v>
      </c>
      <c r="AC705" t="s">
        <v>175</v>
      </c>
      <c r="AD705" t="s">
        <v>176</v>
      </c>
    </row>
    <row r="706" spans="2:30" x14ac:dyDescent="0.25">
      <c r="B706">
        <v>5002</v>
      </c>
      <c r="C706" t="s">
        <v>1340</v>
      </c>
      <c r="D706">
        <v>2016</v>
      </c>
      <c r="F706" s="89">
        <v>42433086.444236003</v>
      </c>
      <c r="G706" s="89" t="s">
        <v>128</v>
      </c>
      <c r="H706" s="89"/>
      <c r="I706" s="89">
        <v>0</v>
      </c>
      <c r="J706" s="89">
        <v>0</v>
      </c>
      <c r="K706" s="89">
        <v>42433086.444236003</v>
      </c>
      <c r="L706" s="89">
        <v>0</v>
      </c>
      <c r="M706" s="89">
        <v>0</v>
      </c>
      <c r="N706" s="89"/>
      <c r="O706" s="89">
        <v>0</v>
      </c>
      <c r="P706" s="89">
        <v>20563990.769041199</v>
      </c>
      <c r="Q706" s="89">
        <v>0</v>
      </c>
      <c r="R706" s="89">
        <v>20563990.769041199</v>
      </c>
      <c r="S706" s="89">
        <v>21869095.6672947</v>
      </c>
      <c r="T706"/>
      <c r="U706" t="s">
        <v>155</v>
      </c>
      <c r="V706" t="s">
        <v>129</v>
      </c>
      <c r="W706" t="s">
        <v>645</v>
      </c>
      <c r="Y706" t="s">
        <v>320</v>
      </c>
      <c r="Z706" t="s">
        <v>131</v>
      </c>
      <c r="AA706" s="90">
        <v>90013</v>
      </c>
      <c r="AB706" t="s">
        <v>451</v>
      </c>
      <c r="AC706" t="s">
        <v>259</v>
      </c>
      <c r="AD706" t="s">
        <v>260</v>
      </c>
    </row>
    <row r="707" spans="2:30" x14ac:dyDescent="0.25">
      <c r="B707">
        <v>104212</v>
      </c>
      <c r="C707" t="s">
        <v>1341</v>
      </c>
      <c r="D707">
        <v>2016</v>
      </c>
      <c r="F707" s="89">
        <v>83109.664829000001</v>
      </c>
      <c r="G707" s="89" t="s">
        <v>128</v>
      </c>
      <c r="H707" s="89"/>
      <c r="I707" s="89">
        <v>0</v>
      </c>
      <c r="J707" s="89">
        <v>0</v>
      </c>
      <c r="K707" s="89">
        <v>77548.995028999998</v>
      </c>
      <c r="L707" s="89">
        <v>5560.6697999999997</v>
      </c>
      <c r="M707" s="89">
        <v>0</v>
      </c>
      <c r="N707" s="89"/>
      <c r="O707" s="89">
        <v>0</v>
      </c>
      <c r="P707" s="89">
        <v>77548.995028999998</v>
      </c>
      <c r="Q707" s="89">
        <v>0</v>
      </c>
      <c r="R707" s="89">
        <v>77548.995028999998</v>
      </c>
      <c r="S707" s="89">
        <v>5560.6697999999997</v>
      </c>
      <c r="T707"/>
      <c r="U707" t="s">
        <v>155</v>
      </c>
      <c r="V707" t="s">
        <v>129</v>
      </c>
      <c r="W707" t="s">
        <v>222</v>
      </c>
      <c r="Y707" t="s">
        <v>1066</v>
      </c>
      <c r="Z707" t="s">
        <v>131</v>
      </c>
      <c r="AA707" s="90">
        <v>92867</v>
      </c>
      <c r="AB707" t="s">
        <v>146</v>
      </c>
      <c r="AC707" t="s">
        <v>147</v>
      </c>
      <c r="AD707" t="s">
        <v>148</v>
      </c>
    </row>
    <row r="708" spans="2:30" x14ac:dyDescent="0.25">
      <c r="B708">
        <v>5013</v>
      </c>
      <c r="C708" t="s">
        <v>1342</v>
      </c>
      <c r="D708">
        <v>2016</v>
      </c>
      <c r="F708" s="89">
        <v>719284.54158800002</v>
      </c>
      <c r="G708" s="89" t="s">
        <v>128</v>
      </c>
      <c r="H708" s="89"/>
      <c r="I708" s="89">
        <v>23822.207299999998</v>
      </c>
      <c r="J708" s="89">
        <v>0</v>
      </c>
      <c r="K708" s="89">
        <v>695462.33428800001</v>
      </c>
      <c r="L708" s="89">
        <v>0</v>
      </c>
      <c r="M708" s="89">
        <v>0</v>
      </c>
      <c r="N708" s="89"/>
      <c r="O708" s="89">
        <v>0</v>
      </c>
      <c r="P708" s="89">
        <v>695025.95109480002</v>
      </c>
      <c r="Q708" s="89">
        <v>0</v>
      </c>
      <c r="R708" s="89">
        <v>695025.95109480002</v>
      </c>
      <c r="S708" s="89">
        <v>24258.590493199899</v>
      </c>
      <c r="T708"/>
      <c r="U708" t="s">
        <v>155</v>
      </c>
      <c r="V708" t="s">
        <v>129</v>
      </c>
      <c r="W708" t="s">
        <v>156</v>
      </c>
      <c r="Y708" t="s">
        <v>1007</v>
      </c>
      <c r="Z708" t="s">
        <v>1008</v>
      </c>
      <c r="AA708" s="90">
        <v>89150</v>
      </c>
      <c r="AB708" t="s">
        <v>550</v>
      </c>
      <c r="AC708" t="s">
        <v>1343</v>
      </c>
      <c r="AD708" t="s">
        <v>260</v>
      </c>
    </row>
    <row r="709" spans="2:30" x14ac:dyDescent="0.25">
      <c r="B709">
        <v>101241</v>
      </c>
      <c r="C709" t="s">
        <v>1344</v>
      </c>
      <c r="D709">
        <v>2016</v>
      </c>
      <c r="F709" s="89">
        <v>81589.040071564697</v>
      </c>
      <c r="G709" s="89" t="s">
        <v>128</v>
      </c>
      <c r="H709" s="89"/>
      <c r="I709" s="89">
        <v>81578.930071564697</v>
      </c>
      <c r="J709" s="89">
        <v>10.11</v>
      </c>
      <c r="K709" s="89">
        <v>0</v>
      </c>
      <c r="L709" s="89">
        <v>0</v>
      </c>
      <c r="M709" s="89">
        <v>0</v>
      </c>
      <c r="N709" s="89"/>
      <c r="O709" s="89">
        <v>67276.548215414703</v>
      </c>
      <c r="P709" s="89">
        <v>0</v>
      </c>
      <c r="Q709" s="89">
        <v>0</v>
      </c>
      <c r="R709" s="89">
        <v>67276.548215414703</v>
      </c>
      <c r="S709" s="89">
        <v>14312.49185615</v>
      </c>
      <c r="T709"/>
      <c r="U709" t="s">
        <v>155</v>
      </c>
      <c r="V709" t="s">
        <v>155</v>
      </c>
      <c r="W709" t="s">
        <v>1345</v>
      </c>
      <c r="Y709" t="s">
        <v>1068</v>
      </c>
      <c r="Z709" t="s">
        <v>131</v>
      </c>
      <c r="AA709" s="90">
        <v>92227</v>
      </c>
      <c r="AB709" t="s">
        <v>1346</v>
      </c>
      <c r="AC709" t="s">
        <v>877</v>
      </c>
      <c r="AD709" t="s">
        <v>143</v>
      </c>
    </row>
    <row r="710" spans="2:30" x14ac:dyDescent="0.25">
      <c r="B710">
        <v>100263</v>
      </c>
      <c r="C710" t="s">
        <v>1347</v>
      </c>
      <c r="D710">
        <v>2016</v>
      </c>
      <c r="F710" s="89">
        <v>24531.113432744001</v>
      </c>
      <c r="G710" s="89" t="s">
        <v>128</v>
      </c>
      <c r="H710" s="89"/>
      <c r="I710" s="89">
        <v>24531.113432744001</v>
      </c>
      <c r="J710" s="89">
        <v>0</v>
      </c>
      <c r="K710" s="89">
        <v>0</v>
      </c>
      <c r="L710" s="89">
        <v>0</v>
      </c>
      <c r="M710" s="89">
        <v>0</v>
      </c>
      <c r="N710" s="89"/>
      <c r="O710" s="89">
        <v>0</v>
      </c>
      <c r="P710" s="89">
        <v>0</v>
      </c>
      <c r="Q710" s="89">
        <v>0</v>
      </c>
      <c r="R710" s="89">
        <v>0</v>
      </c>
      <c r="S710" s="89">
        <v>24531.113432744001</v>
      </c>
      <c r="T710"/>
      <c r="U710" t="s">
        <v>155</v>
      </c>
      <c r="V710" t="s">
        <v>129</v>
      </c>
      <c r="W710" t="s">
        <v>337</v>
      </c>
      <c r="Y710" t="s">
        <v>1348</v>
      </c>
      <c r="Z710" t="s">
        <v>131</v>
      </c>
      <c r="AA710" s="90">
        <v>94025</v>
      </c>
      <c r="AB710" t="s">
        <v>132</v>
      </c>
      <c r="AC710" t="s">
        <v>0</v>
      </c>
      <c r="AD710" t="s">
        <v>133</v>
      </c>
    </row>
    <row r="711" spans="2:30" x14ac:dyDescent="0.25">
      <c r="B711">
        <v>104635</v>
      </c>
      <c r="C711" t="s">
        <v>1349</v>
      </c>
      <c r="D711">
        <v>2016</v>
      </c>
      <c r="F711" s="89">
        <v>19162.796731679999</v>
      </c>
      <c r="G711" s="89" t="s">
        <v>128</v>
      </c>
      <c r="H711" s="89"/>
      <c r="I711" s="89">
        <v>19162.796731679999</v>
      </c>
      <c r="J711" s="89">
        <v>0</v>
      </c>
      <c r="K711" s="89">
        <v>0</v>
      </c>
      <c r="L711" s="89">
        <v>0</v>
      </c>
      <c r="M711" s="89">
        <v>0</v>
      </c>
      <c r="N711" s="89"/>
      <c r="O711" s="89">
        <v>0</v>
      </c>
      <c r="P711" s="89">
        <v>0</v>
      </c>
      <c r="Q711" s="89">
        <v>0</v>
      </c>
      <c r="R711" s="89">
        <v>0</v>
      </c>
      <c r="S711" s="89">
        <v>19162.796731679999</v>
      </c>
      <c r="T711"/>
      <c r="U711" t="s">
        <v>129</v>
      </c>
      <c r="V711" t="s">
        <v>129</v>
      </c>
      <c r="Y711" t="s">
        <v>548</v>
      </c>
      <c r="Z711" t="s">
        <v>131</v>
      </c>
      <c r="AA711" s="90">
        <v>94304</v>
      </c>
      <c r="AB711" t="s">
        <v>335</v>
      </c>
      <c r="AC711" t="s">
        <v>0</v>
      </c>
      <c r="AD711" t="s">
        <v>143</v>
      </c>
    </row>
    <row r="712" spans="2:30" x14ac:dyDescent="0.25">
      <c r="B712">
        <v>101025</v>
      </c>
      <c r="C712" t="s">
        <v>1350</v>
      </c>
      <c r="D712">
        <v>2016</v>
      </c>
      <c r="F712" s="89">
        <v>51023.845375999997</v>
      </c>
      <c r="G712" s="89" t="s">
        <v>128</v>
      </c>
      <c r="H712" s="89"/>
      <c r="I712" s="89">
        <v>51023.845375999997</v>
      </c>
      <c r="J712" s="89">
        <v>0</v>
      </c>
      <c r="K712" s="89">
        <v>0</v>
      </c>
      <c r="L712" s="89">
        <v>0</v>
      </c>
      <c r="M712" s="89">
        <v>0</v>
      </c>
      <c r="N712" s="89"/>
      <c r="O712" s="89">
        <v>51023.845375999997</v>
      </c>
      <c r="P712" s="89">
        <v>0</v>
      </c>
      <c r="Q712" s="89">
        <v>0</v>
      </c>
      <c r="R712" s="89">
        <v>51023.845375999997</v>
      </c>
      <c r="S712" s="89">
        <v>0</v>
      </c>
      <c r="T712"/>
      <c r="U712" t="s">
        <v>155</v>
      </c>
      <c r="V712" t="s">
        <v>155</v>
      </c>
      <c r="W712" t="s">
        <v>232</v>
      </c>
      <c r="Y712" t="s">
        <v>357</v>
      </c>
      <c r="Z712" t="s">
        <v>131</v>
      </c>
      <c r="AA712" s="90">
        <v>95354</v>
      </c>
      <c r="AB712" t="s">
        <v>485</v>
      </c>
      <c r="AC712" t="s">
        <v>0</v>
      </c>
      <c r="AD712" t="s">
        <v>143</v>
      </c>
    </row>
    <row r="713" spans="2:30" x14ac:dyDescent="0.25">
      <c r="B713">
        <v>104409</v>
      </c>
      <c r="C713" t="s">
        <v>1351</v>
      </c>
      <c r="D713">
        <v>2016</v>
      </c>
      <c r="F713" s="89">
        <v>11122.139824</v>
      </c>
      <c r="G713" s="89" t="s">
        <v>128</v>
      </c>
      <c r="H713" s="89"/>
      <c r="I713" s="89">
        <v>11122.139824</v>
      </c>
      <c r="J713" s="89">
        <v>0</v>
      </c>
      <c r="K713" s="89">
        <v>0</v>
      </c>
      <c r="L713" s="89">
        <v>0</v>
      </c>
      <c r="M713" s="89">
        <v>0</v>
      </c>
      <c r="N713" s="89"/>
      <c r="O713" s="89">
        <v>0</v>
      </c>
      <c r="P713" s="89">
        <v>0</v>
      </c>
      <c r="Q713" s="89">
        <v>0</v>
      </c>
      <c r="R713" s="89">
        <v>0</v>
      </c>
      <c r="S713" s="89">
        <v>11122.139824</v>
      </c>
      <c r="T713"/>
      <c r="U713" t="s">
        <v>129</v>
      </c>
      <c r="V713" t="s">
        <v>129</v>
      </c>
      <c r="Y713" t="s">
        <v>134</v>
      </c>
      <c r="Z713" t="s">
        <v>131</v>
      </c>
      <c r="AA713" s="90">
        <v>95811</v>
      </c>
      <c r="AB713" t="s">
        <v>569</v>
      </c>
      <c r="AC713" t="s">
        <v>0</v>
      </c>
      <c r="AD713" t="s">
        <v>143</v>
      </c>
    </row>
    <row r="714" spans="2:30" x14ac:dyDescent="0.25">
      <c r="B714">
        <v>104370</v>
      </c>
      <c r="C714" t="s">
        <v>1352</v>
      </c>
      <c r="D714">
        <v>2016</v>
      </c>
      <c r="F714" s="89">
        <v>20275.941066240001</v>
      </c>
      <c r="G714" s="89" t="s">
        <v>128</v>
      </c>
      <c r="H714" s="89"/>
      <c r="I714" s="89">
        <v>20275.941066240001</v>
      </c>
      <c r="J714" s="89">
        <v>0</v>
      </c>
      <c r="K714" s="89">
        <v>0</v>
      </c>
      <c r="L714" s="89">
        <v>0</v>
      </c>
      <c r="M714" s="89">
        <v>0</v>
      </c>
      <c r="N714" s="89"/>
      <c r="O714" s="89">
        <v>0</v>
      </c>
      <c r="P714" s="89">
        <v>0</v>
      </c>
      <c r="Q714" s="89">
        <v>0</v>
      </c>
      <c r="R714" s="89">
        <v>0</v>
      </c>
      <c r="S714" s="89">
        <v>20275.941066240001</v>
      </c>
      <c r="T714"/>
      <c r="U714" t="s">
        <v>129</v>
      </c>
      <c r="V714" t="s">
        <v>129</v>
      </c>
      <c r="Y714" t="s">
        <v>693</v>
      </c>
      <c r="Z714" t="s">
        <v>131</v>
      </c>
      <c r="AA714" s="90">
        <v>90730</v>
      </c>
      <c r="AB714" t="s">
        <v>1353</v>
      </c>
      <c r="AC714" t="s">
        <v>0</v>
      </c>
      <c r="AD714" t="s">
        <v>143</v>
      </c>
    </row>
    <row r="715" spans="2:30" x14ac:dyDescent="0.25">
      <c r="B715">
        <v>104619</v>
      </c>
      <c r="C715" t="s">
        <v>1354</v>
      </c>
      <c r="D715">
        <v>2016</v>
      </c>
      <c r="F715" s="89">
        <v>9443.5011871200004</v>
      </c>
      <c r="G715" s="89" t="s">
        <v>128</v>
      </c>
      <c r="H715" s="89"/>
      <c r="I715" s="89">
        <v>0</v>
      </c>
      <c r="J715" s="89">
        <v>0</v>
      </c>
      <c r="K715" s="89">
        <v>9443.5011871200004</v>
      </c>
      <c r="L715" s="89">
        <v>0</v>
      </c>
      <c r="M715" s="89">
        <v>0</v>
      </c>
      <c r="N715" s="89"/>
      <c r="O715" s="89">
        <v>0</v>
      </c>
      <c r="P715" s="89">
        <v>0</v>
      </c>
      <c r="Q715" s="89">
        <v>0</v>
      </c>
      <c r="R715" s="89">
        <v>0</v>
      </c>
      <c r="S715" s="89">
        <v>9443.5011871200004</v>
      </c>
      <c r="T715"/>
      <c r="U715" t="s">
        <v>129</v>
      </c>
      <c r="V715" t="s">
        <v>129</v>
      </c>
      <c r="Y715" t="s">
        <v>1355</v>
      </c>
      <c r="Z715" t="s">
        <v>1356</v>
      </c>
      <c r="AA715" s="90">
        <v>7981</v>
      </c>
      <c r="AB715" t="s">
        <v>227</v>
      </c>
      <c r="AC715" t="s">
        <v>259</v>
      </c>
      <c r="AD715" t="s">
        <v>260</v>
      </c>
    </row>
    <row r="716" spans="2:30" x14ac:dyDescent="0.25">
      <c r="B716">
        <v>101671</v>
      </c>
      <c r="C716" t="s">
        <v>1504</v>
      </c>
      <c r="D716">
        <v>2016</v>
      </c>
      <c r="F716" s="89">
        <v>0</v>
      </c>
      <c r="G716" s="89" t="s">
        <v>128</v>
      </c>
      <c r="H716" s="89"/>
      <c r="I716" s="89">
        <v>0</v>
      </c>
      <c r="J716" s="89">
        <v>0</v>
      </c>
      <c r="K716" s="89">
        <v>0</v>
      </c>
      <c r="L716" s="89">
        <v>0</v>
      </c>
      <c r="M716" s="89">
        <v>0</v>
      </c>
      <c r="N716" s="89"/>
      <c r="O716" s="89">
        <v>0</v>
      </c>
      <c r="P716" s="89">
        <v>0</v>
      </c>
      <c r="Q716" s="89">
        <v>0</v>
      </c>
      <c r="R716" s="89">
        <v>0</v>
      </c>
      <c r="S716" s="89">
        <v>0</v>
      </c>
      <c r="T716"/>
      <c r="U716" t="s">
        <v>129</v>
      </c>
      <c r="V716" t="s">
        <v>129</v>
      </c>
      <c r="Y716" t="s">
        <v>153</v>
      </c>
      <c r="Z716" t="s">
        <v>131</v>
      </c>
      <c r="AA716" s="90">
        <v>92327</v>
      </c>
      <c r="AB716" t="s">
        <v>139</v>
      </c>
      <c r="AC716" t="s">
        <v>0</v>
      </c>
      <c r="AD716" t="s">
        <v>140</v>
      </c>
    </row>
    <row r="717" spans="2:30" x14ac:dyDescent="0.25">
      <c r="B717">
        <v>100948</v>
      </c>
      <c r="C717" t="s">
        <v>1357</v>
      </c>
      <c r="D717">
        <v>2016</v>
      </c>
      <c r="F717" s="89">
        <v>1311432.283148</v>
      </c>
      <c r="G717" s="89" t="s">
        <v>128</v>
      </c>
      <c r="H717" s="89"/>
      <c r="I717" s="89">
        <v>1311432.283148</v>
      </c>
      <c r="J717" s="89">
        <v>0</v>
      </c>
      <c r="K717" s="89">
        <v>0</v>
      </c>
      <c r="L717" s="89">
        <v>0</v>
      </c>
      <c r="M717" s="89">
        <v>0</v>
      </c>
      <c r="N717" s="89"/>
      <c r="O717" s="89">
        <v>1311432.283148</v>
      </c>
      <c r="P717" s="89">
        <v>0</v>
      </c>
      <c r="Q717" s="89">
        <v>0</v>
      </c>
      <c r="R717" s="89">
        <v>1311432.283148</v>
      </c>
      <c r="S717" s="89">
        <v>0</v>
      </c>
      <c r="T717"/>
      <c r="U717" t="s">
        <v>155</v>
      </c>
      <c r="V717" t="s">
        <v>129</v>
      </c>
      <c r="W717" t="s">
        <v>222</v>
      </c>
      <c r="Y717" t="s">
        <v>949</v>
      </c>
      <c r="Z717" t="s">
        <v>131</v>
      </c>
      <c r="AA717" s="90">
        <v>93224</v>
      </c>
      <c r="AB717" t="s">
        <v>132</v>
      </c>
      <c r="AC717" t="s">
        <v>1</v>
      </c>
      <c r="AD717" t="s">
        <v>140</v>
      </c>
    </row>
    <row r="718" spans="2:30" x14ac:dyDescent="0.25">
      <c r="B718">
        <v>104709</v>
      </c>
      <c r="C718" t="s">
        <v>1505</v>
      </c>
      <c r="D718">
        <v>2016</v>
      </c>
      <c r="F718" s="89">
        <v>25711.154976000002</v>
      </c>
      <c r="G718" s="89" t="s">
        <v>128</v>
      </c>
      <c r="H718" s="89"/>
      <c r="I718" s="89">
        <v>25711.154976000002</v>
      </c>
      <c r="J718" s="89">
        <v>0</v>
      </c>
      <c r="K718" s="89">
        <v>0</v>
      </c>
      <c r="L718" s="89">
        <v>0</v>
      </c>
      <c r="M718" s="89">
        <v>0</v>
      </c>
      <c r="N718" s="89"/>
      <c r="O718" s="89">
        <v>25711.154976000002</v>
      </c>
      <c r="P718" s="89">
        <v>0</v>
      </c>
      <c r="Q718" s="89">
        <v>0</v>
      </c>
      <c r="R718" s="89">
        <v>25711.154976000002</v>
      </c>
      <c r="S718" s="89">
        <v>0</v>
      </c>
      <c r="T718"/>
      <c r="U718" t="s">
        <v>155</v>
      </c>
      <c r="V718" t="s">
        <v>129</v>
      </c>
      <c r="W718" t="s">
        <v>565</v>
      </c>
      <c r="Y718" t="s">
        <v>868</v>
      </c>
      <c r="Z718" t="s">
        <v>131</v>
      </c>
      <c r="AA718" s="90">
        <v>93561</v>
      </c>
      <c r="AB718" t="s">
        <v>1506</v>
      </c>
      <c r="AC718" t="s">
        <v>0</v>
      </c>
      <c r="AD718" t="s">
        <v>143</v>
      </c>
    </row>
    <row r="719" spans="2:30" x14ac:dyDescent="0.25">
      <c r="B719">
        <v>104550</v>
      </c>
      <c r="C719" t="s">
        <v>1358</v>
      </c>
      <c r="D719">
        <v>2016</v>
      </c>
      <c r="F719" s="89">
        <v>83680.220041452805</v>
      </c>
      <c r="G719" s="89" t="s">
        <v>128</v>
      </c>
      <c r="H719" s="89"/>
      <c r="I719" s="89">
        <v>419.90004145281102</v>
      </c>
      <c r="J719" s="89">
        <v>83260.320000000007</v>
      </c>
      <c r="K719" s="89">
        <v>0</v>
      </c>
      <c r="L719" s="89">
        <v>0</v>
      </c>
      <c r="M719" s="89">
        <v>0</v>
      </c>
      <c r="N719" s="89"/>
      <c r="O719" s="89">
        <v>0</v>
      </c>
      <c r="P719" s="89">
        <v>0</v>
      </c>
      <c r="Q719" s="89">
        <v>0</v>
      </c>
      <c r="R719" s="89">
        <v>0</v>
      </c>
      <c r="S719" s="89">
        <v>83680.220041452805</v>
      </c>
      <c r="T719"/>
      <c r="U719" t="s">
        <v>155</v>
      </c>
      <c r="V719" t="s">
        <v>129</v>
      </c>
      <c r="W719" t="s">
        <v>232</v>
      </c>
      <c r="Y719" t="s">
        <v>1055</v>
      </c>
      <c r="Z719" t="s">
        <v>131</v>
      </c>
      <c r="AA719" s="90">
        <v>91342</v>
      </c>
      <c r="AB719" t="s">
        <v>241</v>
      </c>
      <c r="AC719" t="s">
        <v>0</v>
      </c>
      <c r="AD719" t="s">
        <v>140</v>
      </c>
    </row>
    <row r="720" spans="2:30" x14ac:dyDescent="0.25">
      <c r="B720">
        <v>104579</v>
      </c>
      <c r="C720" t="s">
        <v>1359</v>
      </c>
      <c r="D720">
        <v>2016</v>
      </c>
      <c r="F720" s="89">
        <v>0</v>
      </c>
      <c r="G720" s="89" t="s">
        <v>128</v>
      </c>
      <c r="H720" s="89"/>
      <c r="I720" s="89">
        <v>0</v>
      </c>
      <c r="J720" s="89">
        <v>0</v>
      </c>
      <c r="K720" s="89">
        <v>0</v>
      </c>
      <c r="L720" s="89">
        <v>0</v>
      </c>
      <c r="M720" s="89">
        <v>0</v>
      </c>
      <c r="N720" s="89"/>
      <c r="O720" s="89">
        <v>0</v>
      </c>
      <c r="P720" s="89">
        <v>0</v>
      </c>
      <c r="Q720" s="89">
        <v>0</v>
      </c>
      <c r="R720" s="89">
        <v>0</v>
      </c>
      <c r="S720" s="89">
        <v>0</v>
      </c>
      <c r="T720"/>
      <c r="U720" t="s">
        <v>129</v>
      </c>
      <c r="V720" t="s">
        <v>129</v>
      </c>
      <c r="Y720" t="s">
        <v>1360</v>
      </c>
      <c r="Z720" t="s">
        <v>131</v>
      </c>
      <c r="AA720" s="90">
        <v>96101</v>
      </c>
      <c r="AB720" t="s">
        <v>158</v>
      </c>
      <c r="AC720" t="s">
        <v>136</v>
      </c>
      <c r="AD720" t="s">
        <v>137</v>
      </c>
    </row>
    <row r="721" spans="2:30" x14ac:dyDescent="0.25">
      <c r="B721">
        <v>100886</v>
      </c>
      <c r="C721" t="s">
        <v>1361</v>
      </c>
      <c r="D721">
        <v>2016</v>
      </c>
      <c r="F721" s="89">
        <v>879836.10843364801</v>
      </c>
      <c r="G721" s="89" t="s">
        <v>128</v>
      </c>
      <c r="H721" s="89"/>
      <c r="I721" s="89">
        <v>879836.10843364801</v>
      </c>
      <c r="J721" s="89">
        <v>0</v>
      </c>
      <c r="K721" s="89">
        <v>0</v>
      </c>
      <c r="L721" s="89">
        <v>0</v>
      </c>
      <c r="M721" s="89">
        <v>0</v>
      </c>
      <c r="N721" s="89"/>
      <c r="O721" s="89">
        <v>879836.10843364801</v>
      </c>
      <c r="P721" s="89">
        <v>0</v>
      </c>
      <c r="Q721" s="89">
        <v>0</v>
      </c>
      <c r="R721" s="89">
        <v>879836.10843364801</v>
      </c>
      <c r="S721" s="89">
        <v>0</v>
      </c>
      <c r="T721"/>
      <c r="U721" t="s">
        <v>155</v>
      </c>
      <c r="V721" t="s">
        <v>129</v>
      </c>
      <c r="W721" t="s">
        <v>368</v>
      </c>
      <c r="Y721" t="s">
        <v>178</v>
      </c>
      <c r="Z721" t="s">
        <v>131</v>
      </c>
      <c r="AA721" s="90">
        <v>93308</v>
      </c>
      <c r="AB721" t="s">
        <v>132</v>
      </c>
      <c r="AC721" t="s">
        <v>0</v>
      </c>
      <c r="AD721" t="s">
        <v>133</v>
      </c>
    </row>
    <row r="722" spans="2:30" x14ac:dyDescent="0.25">
      <c r="B722">
        <v>101684</v>
      </c>
      <c r="C722" t="s">
        <v>1362</v>
      </c>
      <c r="D722">
        <v>2016</v>
      </c>
      <c r="F722" s="89">
        <v>23371.408559170399</v>
      </c>
      <c r="G722" s="89" t="s">
        <v>128</v>
      </c>
      <c r="H722" s="89"/>
      <c r="I722" s="89">
        <v>117.40855917045</v>
      </c>
      <c r="J722" s="89">
        <v>23254</v>
      </c>
      <c r="K722" s="89">
        <v>0</v>
      </c>
      <c r="L722" s="89">
        <v>0</v>
      </c>
      <c r="M722" s="89">
        <v>0</v>
      </c>
      <c r="N722" s="89"/>
      <c r="O722" s="89">
        <v>0</v>
      </c>
      <c r="P722" s="89">
        <v>0</v>
      </c>
      <c r="Q722" s="89">
        <v>0</v>
      </c>
      <c r="R722" s="89">
        <v>0</v>
      </c>
      <c r="S722" s="89">
        <v>23371.408559170399</v>
      </c>
      <c r="T722"/>
      <c r="U722" t="s">
        <v>155</v>
      </c>
      <c r="V722" t="s">
        <v>129</v>
      </c>
      <c r="W722" t="s">
        <v>156</v>
      </c>
      <c r="Y722" t="s">
        <v>1363</v>
      </c>
      <c r="Z722" t="s">
        <v>131</v>
      </c>
      <c r="AA722" s="90">
        <v>92072</v>
      </c>
      <c r="AB722" t="s">
        <v>139</v>
      </c>
      <c r="AC722" t="s">
        <v>0</v>
      </c>
      <c r="AD722" t="s">
        <v>140</v>
      </c>
    </row>
    <row r="723" spans="2:30" x14ac:dyDescent="0.25">
      <c r="B723">
        <v>104567</v>
      </c>
      <c r="C723" t="s">
        <v>1364</v>
      </c>
      <c r="D723">
        <v>2016</v>
      </c>
      <c r="F723" s="89">
        <v>0</v>
      </c>
      <c r="G723" s="89" t="s">
        <v>128</v>
      </c>
      <c r="H723" s="89"/>
      <c r="I723" s="89">
        <v>0</v>
      </c>
      <c r="J723" s="89">
        <v>0</v>
      </c>
      <c r="K723" s="89">
        <v>0</v>
      </c>
      <c r="L723" s="89">
        <v>0</v>
      </c>
      <c r="M723" s="89">
        <v>0</v>
      </c>
      <c r="N723" s="89"/>
      <c r="O723" s="89">
        <v>0</v>
      </c>
      <c r="P723" s="89">
        <v>0</v>
      </c>
      <c r="Q723" s="89">
        <v>0</v>
      </c>
      <c r="R723" s="89">
        <v>0</v>
      </c>
      <c r="S723" s="89">
        <v>0</v>
      </c>
      <c r="T723"/>
      <c r="U723" t="s">
        <v>155</v>
      </c>
      <c r="V723" t="s">
        <v>129</v>
      </c>
      <c r="W723" t="s">
        <v>337</v>
      </c>
      <c r="Y723" t="s">
        <v>1365</v>
      </c>
      <c r="Z723" t="s">
        <v>307</v>
      </c>
      <c r="AA723" s="90">
        <v>98408</v>
      </c>
      <c r="AB723" t="s">
        <v>308</v>
      </c>
      <c r="AC723" t="s">
        <v>136</v>
      </c>
      <c r="AD723" t="s">
        <v>137</v>
      </c>
    </row>
    <row r="724" spans="2:30" x14ac:dyDescent="0.25">
      <c r="B724">
        <v>101073</v>
      </c>
      <c r="C724" t="s">
        <v>1366</v>
      </c>
      <c r="D724">
        <v>2016</v>
      </c>
      <c r="F724" s="89">
        <v>54015.566326400003</v>
      </c>
      <c r="G724" s="89" t="s">
        <v>128</v>
      </c>
      <c r="H724" s="89"/>
      <c r="I724" s="89">
        <v>54015.566326400003</v>
      </c>
      <c r="J724" s="89">
        <v>0</v>
      </c>
      <c r="K724" s="89">
        <v>0</v>
      </c>
      <c r="L724" s="89">
        <v>0</v>
      </c>
      <c r="M724" s="89">
        <v>0</v>
      </c>
      <c r="N724" s="89"/>
      <c r="O724" s="89">
        <v>54015.566326400003</v>
      </c>
      <c r="P724" s="89">
        <v>0</v>
      </c>
      <c r="Q724" s="89">
        <v>0</v>
      </c>
      <c r="R724" s="89">
        <v>54015.566326400003</v>
      </c>
      <c r="S724" s="89">
        <v>0</v>
      </c>
      <c r="T724"/>
      <c r="U724" t="s">
        <v>155</v>
      </c>
      <c r="V724" t="s">
        <v>155</v>
      </c>
      <c r="W724" t="s">
        <v>277</v>
      </c>
      <c r="Y724" t="s">
        <v>693</v>
      </c>
      <c r="Z724" t="s">
        <v>131</v>
      </c>
      <c r="AA724" s="90">
        <v>91739</v>
      </c>
      <c r="AB724" t="s">
        <v>1367</v>
      </c>
      <c r="AC724" t="s">
        <v>1368</v>
      </c>
      <c r="AD724" t="s">
        <v>143</v>
      </c>
    </row>
    <row r="725" spans="2:30" x14ac:dyDescent="0.25">
      <c r="B725">
        <v>5021</v>
      </c>
      <c r="C725" t="s">
        <v>1369</v>
      </c>
      <c r="D725">
        <v>2016</v>
      </c>
      <c r="F725" s="89">
        <v>20871.890800000001</v>
      </c>
      <c r="G725" s="89" t="s">
        <v>128</v>
      </c>
      <c r="H725" s="89"/>
      <c r="I725" s="89">
        <v>0</v>
      </c>
      <c r="J725" s="89">
        <v>0</v>
      </c>
      <c r="K725" s="89">
        <v>20871.890800000001</v>
      </c>
      <c r="L725" s="89">
        <v>0</v>
      </c>
      <c r="M725" s="89">
        <v>0</v>
      </c>
      <c r="N725" s="89"/>
      <c r="O725" s="89">
        <v>0</v>
      </c>
      <c r="P725" s="89">
        <v>0</v>
      </c>
      <c r="Q725" s="89">
        <v>0</v>
      </c>
      <c r="R725" s="89">
        <v>0</v>
      </c>
      <c r="S725" s="89">
        <v>20871.890800000001</v>
      </c>
      <c r="T725"/>
      <c r="U725" t="s">
        <v>129</v>
      </c>
      <c r="V725" t="s">
        <v>129</v>
      </c>
      <c r="Y725" t="s">
        <v>868</v>
      </c>
      <c r="Z725" t="s">
        <v>131</v>
      </c>
      <c r="AA725" s="90">
        <v>93561</v>
      </c>
      <c r="AB725" t="s">
        <v>665</v>
      </c>
      <c r="AC725" t="s">
        <v>259</v>
      </c>
      <c r="AD725" t="s">
        <v>260</v>
      </c>
    </row>
    <row r="726" spans="2:30" x14ac:dyDescent="0.25">
      <c r="B726">
        <v>104194</v>
      </c>
      <c r="C726" t="s">
        <v>1370</v>
      </c>
      <c r="D726">
        <v>2016</v>
      </c>
      <c r="F726" s="89">
        <v>43637.564010000002</v>
      </c>
      <c r="G726" s="89" t="s">
        <v>128</v>
      </c>
      <c r="H726" s="89"/>
      <c r="I726" s="89">
        <v>0</v>
      </c>
      <c r="J726" s="89">
        <v>0</v>
      </c>
      <c r="K726" s="89">
        <v>0</v>
      </c>
      <c r="L726" s="89">
        <v>0</v>
      </c>
      <c r="M726" s="89">
        <v>43637.564010000002</v>
      </c>
      <c r="N726" s="89"/>
      <c r="O726" s="89">
        <v>0</v>
      </c>
      <c r="P726" s="89">
        <v>0</v>
      </c>
      <c r="Q726" s="89">
        <v>43550.014009999999</v>
      </c>
      <c r="R726" s="89">
        <v>43550.014009999999</v>
      </c>
      <c r="S726" s="89">
        <v>87.55</v>
      </c>
      <c r="T726"/>
      <c r="U726" t="s">
        <v>155</v>
      </c>
      <c r="V726" t="s">
        <v>129</v>
      </c>
      <c r="W726" t="s">
        <v>372</v>
      </c>
      <c r="Y726" t="s">
        <v>1371</v>
      </c>
      <c r="Z726" t="s">
        <v>360</v>
      </c>
      <c r="AA726" s="90">
        <v>76006</v>
      </c>
      <c r="AB726" t="s">
        <v>158</v>
      </c>
      <c r="AC726" t="s">
        <v>136</v>
      </c>
      <c r="AD726" t="s">
        <v>137</v>
      </c>
    </row>
    <row r="727" spans="2:30" x14ac:dyDescent="0.25">
      <c r="B727">
        <v>2427</v>
      </c>
      <c r="C727" t="s">
        <v>1372</v>
      </c>
      <c r="D727">
        <v>2016</v>
      </c>
      <c r="F727" s="89">
        <v>35455.681710124198</v>
      </c>
      <c r="G727" s="89" t="s">
        <v>128</v>
      </c>
      <c r="H727" s="89"/>
      <c r="I727" s="89">
        <v>0</v>
      </c>
      <c r="J727" s="89">
        <v>0</v>
      </c>
      <c r="K727" s="89">
        <v>0</v>
      </c>
      <c r="L727" s="89">
        <v>0</v>
      </c>
      <c r="M727" s="89">
        <v>35455.681710124198</v>
      </c>
      <c r="N727" s="89"/>
      <c r="O727" s="89">
        <v>0</v>
      </c>
      <c r="P727" s="89">
        <v>0</v>
      </c>
      <c r="Q727" s="89">
        <v>0</v>
      </c>
      <c r="R727" s="89">
        <v>0</v>
      </c>
      <c r="S727" s="89">
        <v>35455.681710124198</v>
      </c>
      <c r="T727"/>
      <c r="U727" t="s">
        <v>155</v>
      </c>
      <c r="V727" t="s">
        <v>129</v>
      </c>
      <c r="W727" t="s">
        <v>364</v>
      </c>
      <c r="Y727" t="s">
        <v>1373</v>
      </c>
      <c r="Z727" t="s">
        <v>1008</v>
      </c>
      <c r="AA727" s="90">
        <v>89521</v>
      </c>
      <c r="AB727" t="s">
        <v>139</v>
      </c>
      <c r="AC727" t="s">
        <v>136</v>
      </c>
      <c r="AD727" t="s">
        <v>137</v>
      </c>
    </row>
    <row r="728" spans="2:30" x14ac:dyDescent="0.25">
      <c r="B728">
        <v>104516</v>
      </c>
      <c r="C728" t="s">
        <v>1374</v>
      </c>
      <c r="D728">
        <v>2016</v>
      </c>
      <c r="F728" s="89">
        <v>27592.132799999999</v>
      </c>
      <c r="G728" s="89" t="s">
        <v>128</v>
      </c>
      <c r="H728" s="89"/>
      <c r="I728" s="89">
        <v>27592.132799999999</v>
      </c>
      <c r="J728" s="89">
        <v>0</v>
      </c>
      <c r="K728" s="89">
        <v>0</v>
      </c>
      <c r="L728" s="89">
        <v>0</v>
      </c>
      <c r="M728" s="89">
        <v>0</v>
      </c>
      <c r="N728" s="89"/>
      <c r="O728" s="89">
        <v>27592.132799999999</v>
      </c>
      <c r="P728" s="89">
        <v>0</v>
      </c>
      <c r="Q728" s="89">
        <v>0</v>
      </c>
      <c r="R728" s="89">
        <v>27592.132799999999</v>
      </c>
      <c r="S728" s="89">
        <v>0</v>
      </c>
      <c r="T728"/>
      <c r="U728" t="s">
        <v>155</v>
      </c>
      <c r="V728" t="s">
        <v>129</v>
      </c>
      <c r="W728" t="s">
        <v>232</v>
      </c>
      <c r="Y728" t="s">
        <v>1375</v>
      </c>
      <c r="Z728" t="s">
        <v>131</v>
      </c>
      <c r="AA728" s="90">
        <v>94538</v>
      </c>
      <c r="AB728" t="s">
        <v>1376</v>
      </c>
      <c r="AC728" t="s">
        <v>0</v>
      </c>
      <c r="AD728" t="s">
        <v>143</v>
      </c>
    </row>
    <row r="729" spans="2:30" x14ac:dyDescent="0.25">
      <c r="B729">
        <v>100002</v>
      </c>
      <c r="C729" t="s">
        <v>1377</v>
      </c>
      <c r="D729">
        <v>2016</v>
      </c>
      <c r="F729" s="89">
        <v>258014.068820499</v>
      </c>
      <c r="G729" s="89" t="s">
        <v>128</v>
      </c>
      <c r="H729" s="89"/>
      <c r="I729" s="89">
        <v>258014.068820499</v>
      </c>
      <c r="J729" s="89">
        <v>0</v>
      </c>
      <c r="K729" s="89">
        <v>0</v>
      </c>
      <c r="L729" s="89">
        <v>0</v>
      </c>
      <c r="M729" s="89">
        <v>0</v>
      </c>
      <c r="N729" s="89"/>
      <c r="O729" s="89">
        <v>258012.91570168899</v>
      </c>
      <c r="P729" s="89">
        <v>0</v>
      </c>
      <c r="Q729" s="89">
        <v>0</v>
      </c>
      <c r="R729" s="89">
        <v>258012.91570168899</v>
      </c>
      <c r="S729" s="89">
        <v>1.1531188092</v>
      </c>
      <c r="T729"/>
      <c r="U729" t="s">
        <v>155</v>
      </c>
      <c r="V729" t="s">
        <v>155</v>
      </c>
      <c r="W729" t="s">
        <v>215</v>
      </c>
      <c r="Y729" t="s">
        <v>211</v>
      </c>
      <c r="Z729" t="s">
        <v>131</v>
      </c>
      <c r="AA729" s="90">
        <v>90744</v>
      </c>
      <c r="AB729" t="s">
        <v>633</v>
      </c>
      <c r="AC729" t="s">
        <v>742</v>
      </c>
      <c r="AD729" t="s">
        <v>143</v>
      </c>
    </row>
    <row r="730" spans="2:30" x14ac:dyDescent="0.25">
      <c r="B730">
        <v>101246</v>
      </c>
      <c r="C730" t="s">
        <v>1378</v>
      </c>
      <c r="D730">
        <v>2016</v>
      </c>
      <c r="F730" s="89">
        <v>6393186.5335138198</v>
      </c>
      <c r="G730" s="89" t="s">
        <v>128</v>
      </c>
      <c r="H730" s="89"/>
      <c r="I730" s="89">
        <v>6393186.5335138198</v>
      </c>
      <c r="J730" s="89">
        <v>0</v>
      </c>
      <c r="K730" s="89">
        <v>0</v>
      </c>
      <c r="L730" s="89">
        <v>0</v>
      </c>
      <c r="M730" s="89">
        <v>0</v>
      </c>
      <c r="N730" s="89"/>
      <c r="O730" s="89">
        <v>6356499.8551672902</v>
      </c>
      <c r="P730" s="89">
        <v>0</v>
      </c>
      <c r="Q730" s="89">
        <v>0</v>
      </c>
      <c r="R730" s="89">
        <v>6356499.8551672902</v>
      </c>
      <c r="S730" s="89">
        <v>36686.678346532302</v>
      </c>
      <c r="T730"/>
      <c r="U730" t="s">
        <v>155</v>
      </c>
      <c r="V730" t="s">
        <v>155</v>
      </c>
      <c r="W730" t="s">
        <v>368</v>
      </c>
      <c r="Y730" t="s">
        <v>207</v>
      </c>
      <c r="Z730" t="s">
        <v>131</v>
      </c>
      <c r="AA730" s="90">
        <v>90810</v>
      </c>
      <c r="AB730" t="s">
        <v>229</v>
      </c>
      <c r="AC730" t="s">
        <v>518</v>
      </c>
      <c r="AD730" t="s">
        <v>519</v>
      </c>
    </row>
    <row r="731" spans="2:30" x14ac:dyDescent="0.25">
      <c r="B731">
        <v>5012</v>
      </c>
      <c r="C731" t="s">
        <v>1379</v>
      </c>
      <c r="D731">
        <v>2016</v>
      </c>
      <c r="F731" s="89">
        <v>48446716.155533001</v>
      </c>
      <c r="G731" s="89" t="s">
        <v>128</v>
      </c>
      <c r="H731" s="89"/>
      <c r="I731" s="89">
        <v>0</v>
      </c>
      <c r="J731" s="89">
        <v>0</v>
      </c>
      <c r="K731" s="89">
        <v>45351142.645732999</v>
      </c>
      <c r="L731" s="89">
        <v>3095573.5098000001</v>
      </c>
      <c r="M731" s="89">
        <v>0</v>
      </c>
      <c r="N731" s="89"/>
      <c r="O731" s="89">
        <v>0</v>
      </c>
      <c r="P731" s="89">
        <v>45351142.645732999</v>
      </c>
      <c r="Q731" s="89">
        <v>0</v>
      </c>
      <c r="R731" s="89">
        <v>45351142.645732999</v>
      </c>
      <c r="S731" s="89">
        <v>3095573.5098000001</v>
      </c>
      <c r="T731"/>
      <c r="U731" t="s">
        <v>155</v>
      </c>
      <c r="V731" t="s">
        <v>129</v>
      </c>
      <c r="W731" t="s">
        <v>368</v>
      </c>
      <c r="Y731" t="s">
        <v>1380</v>
      </c>
      <c r="Z731" t="s">
        <v>131</v>
      </c>
      <c r="AA731" s="90">
        <v>90120</v>
      </c>
      <c r="AB731" t="s">
        <v>227</v>
      </c>
      <c r="AC731" t="s">
        <v>147</v>
      </c>
      <c r="AD731" t="s">
        <v>148</v>
      </c>
    </row>
    <row r="732" spans="2:30" x14ac:dyDescent="0.25">
      <c r="B732">
        <v>101331</v>
      </c>
      <c r="C732" t="s">
        <v>1381</v>
      </c>
      <c r="D732">
        <v>2016</v>
      </c>
      <c r="F732" s="89">
        <v>2365254.04895498</v>
      </c>
      <c r="G732" s="89" t="s">
        <v>128</v>
      </c>
      <c r="H732" s="89"/>
      <c r="I732" s="89">
        <v>2365254.04895498</v>
      </c>
      <c r="J732" s="89">
        <v>0</v>
      </c>
      <c r="K732" s="89">
        <v>0</v>
      </c>
      <c r="L732" s="89">
        <v>0</v>
      </c>
      <c r="M732" s="89">
        <v>0</v>
      </c>
      <c r="N732" s="89"/>
      <c r="O732" s="89">
        <v>2364849.7744217301</v>
      </c>
      <c r="P732" s="89">
        <v>0</v>
      </c>
      <c r="Q732" s="89">
        <v>0</v>
      </c>
      <c r="R732" s="89">
        <v>2364849.7744217301</v>
      </c>
      <c r="S732" s="89">
        <v>404.27453324999999</v>
      </c>
      <c r="T732"/>
      <c r="U732" t="s">
        <v>210</v>
      </c>
      <c r="V732" t="s">
        <v>155</v>
      </c>
      <c r="W732" t="s">
        <v>232</v>
      </c>
      <c r="Y732" t="s">
        <v>205</v>
      </c>
      <c r="Z732" t="s">
        <v>131</v>
      </c>
      <c r="AA732" s="90">
        <v>94553</v>
      </c>
      <c r="AB732" t="s">
        <v>229</v>
      </c>
      <c r="AC732" t="s">
        <v>518</v>
      </c>
      <c r="AD732" t="s">
        <v>519</v>
      </c>
    </row>
    <row r="733" spans="2:30" x14ac:dyDescent="0.25">
      <c r="B733">
        <v>2278</v>
      </c>
      <c r="C733" t="s">
        <v>1382</v>
      </c>
      <c r="D733">
        <v>2016</v>
      </c>
      <c r="F733" s="89">
        <v>7590.1479300000001</v>
      </c>
      <c r="G733" s="89" t="s">
        <v>128</v>
      </c>
      <c r="H733" s="89"/>
      <c r="I733" s="89">
        <v>0</v>
      </c>
      <c r="J733" s="89">
        <v>0</v>
      </c>
      <c r="K733" s="89">
        <v>0</v>
      </c>
      <c r="L733" s="89">
        <v>0</v>
      </c>
      <c r="M733" s="89">
        <v>7590.1479300000001</v>
      </c>
      <c r="N733" s="89"/>
      <c r="O733" s="89">
        <v>0</v>
      </c>
      <c r="P733" s="89">
        <v>0</v>
      </c>
      <c r="Q733" s="89">
        <v>7590.1479300000001</v>
      </c>
      <c r="R733" s="89">
        <v>7590.1479300000001</v>
      </c>
      <c r="S733" s="89">
        <v>0</v>
      </c>
      <c r="T733"/>
      <c r="U733" t="s">
        <v>155</v>
      </c>
      <c r="V733" t="s">
        <v>129</v>
      </c>
      <c r="W733" t="s">
        <v>156</v>
      </c>
      <c r="Y733" t="s">
        <v>1383</v>
      </c>
      <c r="Z733" t="s">
        <v>750</v>
      </c>
      <c r="AA733" s="90">
        <v>32202</v>
      </c>
      <c r="AB733" t="s">
        <v>158</v>
      </c>
      <c r="AC733" t="s">
        <v>136</v>
      </c>
      <c r="AD733" t="s">
        <v>137</v>
      </c>
    </row>
    <row r="734" spans="2:30" x14ac:dyDescent="0.25">
      <c r="B734">
        <v>101582</v>
      </c>
      <c r="C734" t="s">
        <v>1384</v>
      </c>
      <c r="D734">
        <v>2016</v>
      </c>
      <c r="F734" s="89">
        <v>302174.05524033902</v>
      </c>
      <c r="G734" s="89" t="s">
        <v>128</v>
      </c>
      <c r="H734" s="89"/>
      <c r="I734" s="89">
        <v>302174.05524033902</v>
      </c>
      <c r="J734" s="89">
        <v>0</v>
      </c>
      <c r="K734" s="89">
        <v>0</v>
      </c>
      <c r="L734" s="89">
        <v>0</v>
      </c>
      <c r="M734" s="89">
        <v>0</v>
      </c>
      <c r="N734" s="89"/>
      <c r="O734" s="89">
        <v>302174.05524033902</v>
      </c>
      <c r="P734" s="89">
        <v>0</v>
      </c>
      <c r="Q734" s="89">
        <v>0</v>
      </c>
      <c r="R734" s="89">
        <v>302174.05524033902</v>
      </c>
      <c r="S734" s="89">
        <v>0</v>
      </c>
      <c r="T734"/>
      <c r="U734" t="s">
        <v>155</v>
      </c>
      <c r="V734" t="s">
        <v>155</v>
      </c>
      <c r="W734" t="s">
        <v>368</v>
      </c>
      <c r="Y734" t="s">
        <v>289</v>
      </c>
      <c r="Z734" t="s">
        <v>131</v>
      </c>
      <c r="AA734" s="90">
        <v>93030</v>
      </c>
      <c r="AB734" t="s">
        <v>835</v>
      </c>
      <c r="AC734" t="s">
        <v>0</v>
      </c>
      <c r="AD734" t="s">
        <v>143</v>
      </c>
    </row>
    <row r="735" spans="2:30" x14ac:dyDescent="0.25">
      <c r="B735">
        <v>104518</v>
      </c>
      <c r="C735" t="s">
        <v>1385</v>
      </c>
      <c r="D735">
        <v>2016</v>
      </c>
      <c r="F735" s="89">
        <v>0</v>
      </c>
      <c r="G735" s="89" t="s">
        <v>128</v>
      </c>
      <c r="H735" s="89"/>
      <c r="I735" s="89">
        <v>0</v>
      </c>
      <c r="J735" s="89">
        <v>0</v>
      </c>
      <c r="K735" s="89">
        <v>0</v>
      </c>
      <c r="L735" s="89">
        <v>0</v>
      </c>
      <c r="M735" s="89">
        <v>0</v>
      </c>
      <c r="N735" s="89"/>
      <c r="O735" s="89">
        <v>0</v>
      </c>
      <c r="P735" s="89">
        <v>0</v>
      </c>
      <c r="Q735" s="89">
        <v>0</v>
      </c>
      <c r="R735" s="89">
        <v>0</v>
      </c>
      <c r="S735" s="89">
        <v>0</v>
      </c>
      <c r="T735"/>
      <c r="U735" t="s">
        <v>129</v>
      </c>
      <c r="V735" t="s">
        <v>129</v>
      </c>
      <c r="Y735" t="s">
        <v>149</v>
      </c>
      <c r="Z735" t="s">
        <v>131</v>
      </c>
      <c r="AA735" s="90">
        <v>94607</v>
      </c>
      <c r="AB735" t="s">
        <v>335</v>
      </c>
      <c r="AC735" t="s">
        <v>136</v>
      </c>
      <c r="AD735" t="s">
        <v>137</v>
      </c>
    </row>
    <row r="736" spans="2:30" x14ac:dyDescent="0.25">
      <c r="B736">
        <v>104327</v>
      </c>
      <c r="C736" t="s">
        <v>1386</v>
      </c>
      <c r="D736">
        <v>2016</v>
      </c>
      <c r="F736" s="89">
        <v>374162.92304623802</v>
      </c>
      <c r="G736" s="89" t="s">
        <v>128</v>
      </c>
      <c r="H736" s="89"/>
      <c r="I736" s="89">
        <v>0</v>
      </c>
      <c r="J736" s="89">
        <v>0</v>
      </c>
      <c r="K736" s="89">
        <v>358800.26544623799</v>
      </c>
      <c r="L736" s="89">
        <v>15362.6576</v>
      </c>
      <c r="M736" s="89">
        <v>0</v>
      </c>
      <c r="N736" s="89"/>
      <c r="O736" s="89">
        <v>0</v>
      </c>
      <c r="P736" s="89">
        <v>358800.26544623799</v>
      </c>
      <c r="Q736" s="89">
        <v>0</v>
      </c>
      <c r="R736" s="89">
        <v>358800.26544623799</v>
      </c>
      <c r="S736" s="89">
        <v>15362.6576</v>
      </c>
      <c r="T736"/>
      <c r="U736" t="s">
        <v>155</v>
      </c>
      <c r="V736" t="s">
        <v>129</v>
      </c>
      <c r="W736" t="s">
        <v>222</v>
      </c>
      <c r="Y736" t="s">
        <v>684</v>
      </c>
      <c r="Z736" t="s">
        <v>131</v>
      </c>
      <c r="AA736" s="90">
        <v>92008</v>
      </c>
      <c r="AB736" t="s">
        <v>146</v>
      </c>
      <c r="AC736" t="s">
        <v>147</v>
      </c>
      <c r="AD736" t="s">
        <v>148</v>
      </c>
    </row>
    <row r="737" spans="2:30" x14ac:dyDescent="0.25">
      <c r="B737">
        <v>104647</v>
      </c>
      <c r="C737" t="s">
        <v>1387</v>
      </c>
      <c r="D737">
        <v>2016</v>
      </c>
      <c r="F737" s="89">
        <v>12468.258032</v>
      </c>
      <c r="G737" s="89" t="s">
        <v>128</v>
      </c>
      <c r="H737" s="89"/>
      <c r="I737" s="89">
        <v>12468.258032</v>
      </c>
      <c r="J737" s="89">
        <v>0</v>
      </c>
      <c r="K737" s="89">
        <v>0</v>
      </c>
      <c r="L737" s="89">
        <v>0</v>
      </c>
      <c r="M737" s="89">
        <v>0</v>
      </c>
      <c r="N737" s="89"/>
      <c r="O737" s="89">
        <v>0</v>
      </c>
      <c r="P737" s="89">
        <v>0</v>
      </c>
      <c r="Q737" s="89">
        <v>0</v>
      </c>
      <c r="R737" s="89">
        <v>0</v>
      </c>
      <c r="S737" s="89">
        <v>12468.258032</v>
      </c>
      <c r="T737"/>
      <c r="U737" t="s">
        <v>129</v>
      </c>
      <c r="V737" t="s">
        <v>129</v>
      </c>
      <c r="Y737" t="s">
        <v>1291</v>
      </c>
      <c r="Z737" t="s">
        <v>131</v>
      </c>
      <c r="AA737" s="90">
        <v>95521</v>
      </c>
      <c r="AB737" t="s">
        <v>942</v>
      </c>
      <c r="AC737" t="s">
        <v>0</v>
      </c>
      <c r="AD737" t="s">
        <v>143</v>
      </c>
    </row>
    <row r="738" spans="2:30" x14ac:dyDescent="0.25">
      <c r="B738">
        <v>100052</v>
      </c>
      <c r="C738" t="s">
        <v>1388</v>
      </c>
      <c r="D738">
        <v>2016</v>
      </c>
      <c r="F738" s="89">
        <v>0</v>
      </c>
      <c r="G738" s="89" t="s">
        <v>128</v>
      </c>
      <c r="H738" s="89"/>
      <c r="I738" s="89">
        <v>0</v>
      </c>
      <c r="J738" s="89">
        <v>0</v>
      </c>
      <c r="K738" s="89">
        <v>0</v>
      </c>
      <c r="L738" s="89">
        <v>0</v>
      </c>
      <c r="M738" s="89">
        <v>0</v>
      </c>
      <c r="N738" s="89"/>
      <c r="O738" s="89">
        <v>0</v>
      </c>
      <c r="P738" s="89">
        <v>0</v>
      </c>
      <c r="Q738" s="89">
        <v>0</v>
      </c>
      <c r="R738" s="89">
        <v>0</v>
      </c>
      <c r="S738" s="89">
        <v>0</v>
      </c>
      <c r="T738"/>
      <c r="U738" t="s">
        <v>129</v>
      </c>
      <c r="V738" t="s">
        <v>129</v>
      </c>
      <c r="Y738" t="s">
        <v>1077</v>
      </c>
      <c r="Z738" t="s">
        <v>131</v>
      </c>
      <c r="AA738" s="90">
        <v>95377</v>
      </c>
      <c r="AB738" t="s">
        <v>139</v>
      </c>
      <c r="AC738" t="s">
        <v>0</v>
      </c>
      <c r="AD738" t="s">
        <v>140</v>
      </c>
    </row>
    <row r="739" spans="2:30" x14ac:dyDescent="0.25">
      <c r="B739">
        <v>5047</v>
      </c>
      <c r="C739" t="s">
        <v>1389</v>
      </c>
      <c r="D739">
        <v>2016</v>
      </c>
      <c r="F739" s="89">
        <v>0</v>
      </c>
      <c r="G739" s="89" t="s">
        <v>128</v>
      </c>
      <c r="H739" s="89"/>
      <c r="I739" s="89">
        <v>0</v>
      </c>
      <c r="J739" s="89">
        <v>0</v>
      </c>
      <c r="K739" s="89">
        <v>0</v>
      </c>
      <c r="L739" s="89">
        <v>0</v>
      </c>
      <c r="M739" s="89">
        <v>0</v>
      </c>
      <c r="N739" s="89"/>
      <c r="O739" s="89">
        <v>0</v>
      </c>
      <c r="P739" s="89">
        <v>0</v>
      </c>
      <c r="Q739" s="89">
        <v>0</v>
      </c>
      <c r="R739" s="89">
        <v>0</v>
      </c>
      <c r="S739" s="89">
        <v>0</v>
      </c>
      <c r="T739"/>
      <c r="U739" t="s">
        <v>129</v>
      </c>
      <c r="V739" t="s">
        <v>129</v>
      </c>
      <c r="Y739" t="s">
        <v>1390</v>
      </c>
      <c r="Z739" t="s">
        <v>1391</v>
      </c>
      <c r="AA739" s="90">
        <v>74136</v>
      </c>
      <c r="AB739" t="s">
        <v>158</v>
      </c>
      <c r="AC739" t="s">
        <v>136</v>
      </c>
      <c r="AD739" t="s">
        <v>137</v>
      </c>
    </row>
    <row r="740" spans="2:30" x14ac:dyDescent="0.25">
      <c r="B740">
        <v>104620</v>
      </c>
      <c r="C740" t="s">
        <v>1392</v>
      </c>
      <c r="D740">
        <v>2016</v>
      </c>
      <c r="F740" s="89">
        <v>15591.854331840001</v>
      </c>
      <c r="G740" s="89" t="s">
        <v>128</v>
      </c>
      <c r="H740" s="89"/>
      <c r="I740" s="89">
        <v>314.62433184000002</v>
      </c>
      <c r="J740" s="89">
        <v>15277.23</v>
      </c>
      <c r="K740" s="89">
        <v>0</v>
      </c>
      <c r="L740" s="89">
        <v>0</v>
      </c>
      <c r="M740" s="89">
        <v>0</v>
      </c>
      <c r="N740" s="89"/>
      <c r="O740" s="89">
        <v>0</v>
      </c>
      <c r="P740" s="89">
        <v>0</v>
      </c>
      <c r="Q740" s="89">
        <v>0</v>
      </c>
      <c r="R740" s="89">
        <v>0</v>
      </c>
      <c r="S740" s="89">
        <v>15591.854331840001</v>
      </c>
      <c r="T740"/>
      <c r="U740" t="s">
        <v>129</v>
      </c>
      <c r="V740" t="s">
        <v>129</v>
      </c>
      <c r="Y740" t="s">
        <v>1393</v>
      </c>
      <c r="Z740" t="s">
        <v>131</v>
      </c>
      <c r="AA740" s="90">
        <v>96097</v>
      </c>
      <c r="AB740" t="s">
        <v>1205</v>
      </c>
      <c r="AC740" t="s">
        <v>0</v>
      </c>
      <c r="AD740" t="s">
        <v>143</v>
      </c>
    </row>
    <row r="741" spans="2:30" x14ac:dyDescent="0.25">
      <c r="B741">
        <v>101502</v>
      </c>
      <c r="C741" t="s">
        <v>1394</v>
      </c>
      <c r="D741">
        <v>2016</v>
      </c>
      <c r="F741" s="89">
        <v>32988.854225023999</v>
      </c>
      <c r="G741" s="89" t="s">
        <v>128</v>
      </c>
      <c r="H741" s="89"/>
      <c r="I741" s="89">
        <v>32988.854225023999</v>
      </c>
      <c r="J741" s="89">
        <v>0</v>
      </c>
      <c r="K741" s="89">
        <v>0</v>
      </c>
      <c r="L741" s="89">
        <v>0</v>
      </c>
      <c r="M741" s="89">
        <v>0</v>
      </c>
      <c r="N741" s="89"/>
      <c r="O741" s="89">
        <v>32988.854225023999</v>
      </c>
      <c r="P741" s="89">
        <v>0</v>
      </c>
      <c r="Q741" s="89">
        <v>0</v>
      </c>
      <c r="R741" s="89">
        <v>32988.854225023999</v>
      </c>
      <c r="S741" s="89">
        <v>0</v>
      </c>
      <c r="T741"/>
      <c r="U741" t="s">
        <v>155</v>
      </c>
      <c r="V741" t="s">
        <v>155</v>
      </c>
      <c r="W741" t="s">
        <v>156</v>
      </c>
      <c r="Y741" t="s">
        <v>446</v>
      </c>
      <c r="Z741" t="s">
        <v>131</v>
      </c>
      <c r="AA741" s="90">
        <v>93622</v>
      </c>
      <c r="AB741" t="s">
        <v>485</v>
      </c>
      <c r="AC741" t="s">
        <v>0</v>
      </c>
      <c r="AD741" t="s">
        <v>143</v>
      </c>
    </row>
    <row r="742" spans="2:30" x14ac:dyDescent="0.25">
      <c r="B742">
        <v>100217</v>
      </c>
      <c r="C742" t="s">
        <v>1395</v>
      </c>
      <c r="D742">
        <v>2016</v>
      </c>
      <c r="F742" s="89">
        <v>2441904.3209748399</v>
      </c>
      <c r="G742" s="89" t="s">
        <v>128</v>
      </c>
      <c r="H742" s="89"/>
      <c r="I742" s="89">
        <v>2441904.3209748399</v>
      </c>
      <c r="J742" s="89">
        <v>0</v>
      </c>
      <c r="K742" s="89">
        <v>0</v>
      </c>
      <c r="L742" s="89">
        <v>0</v>
      </c>
      <c r="M742" s="89">
        <v>0</v>
      </c>
      <c r="N742" s="89"/>
      <c r="O742" s="89">
        <v>2441383.7481828001</v>
      </c>
      <c r="P742" s="89">
        <v>0</v>
      </c>
      <c r="Q742" s="89">
        <v>0</v>
      </c>
      <c r="R742" s="89">
        <v>2441383.7481828001</v>
      </c>
      <c r="S742" s="89">
        <v>520.572792042125</v>
      </c>
      <c r="T742"/>
      <c r="U742" t="s">
        <v>155</v>
      </c>
      <c r="V742" t="s">
        <v>155</v>
      </c>
      <c r="W742" t="s">
        <v>232</v>
      </c>
      <c r="Y742" t="s">
        <v>1396</v>
      </c>
      <c r="Z742" t="s">
        <v>131</v>
      </c>
      <c r="AA742" s="90">
        <v>90504</v>
      </c>
      <c r="AB742" t="s">
        <v>229</v>
      </c>
      <c r="AC742" t="s">
        <v>518</v>
      </c>
      <c r="AD742" t="s">
        <v>519</v>
      </c>
    </row>
    <row r="743" spans="2:30" x14ac:dyDescent="0.25">
      <c r="B743">
        <v>104476</v>
      </c>
      <c r="C743" t="s">
        <v>1397</v>
      </c>
      <c r="D743">
        <v>2016</v>
      </c>
      <c r="F743" s="89">
        <v>8352497.01980107</v>
      </c>
      <c r="G743" s="89" t="s">
        <v>128</v>
      </c>
      <c r="H743" s="89"/>
      <c r="I743" s="89">
        <v>0</v>
      </c>
      <c r="J743" s="89">
        <v>0</v>
      </c>
      <c r="K743" s="89">
        <v>7810952.4224658897</v>
      </c>
      <c r="L743" s="89">
        <v>541544.59733518003</v>
      </c>
      <c r="M743" s="89">
        <v>0</v>
      </c>
      <c r="N743" s="89"/>
      <c r="O743" s="89">
        <v>0</v>
      </c>
      <c r="P743" s="89">
        <v>7810952.4224658897</v>
      </c>
      <c r="Q743" s="89">
        <v>0</v>
      </c>
      <c r="R743" s="89">
        <v>7810952.4224658897</v>
      </c>
      <c r="S743" s="89">
        <v>541544.59733518003</v>
      </c>
      <c r="T743"/>
      <c r="U743" t="s">
        <v>155</v>
      </c>
      <c r="V743" t="s">
        <v>129</v>
      </c>
      <c r="W743" t="s">
        <v>232</v>
      </c>
      <c r="Y743" t="s">
        <v>1398</v>
      </c>
      <c r="Z743" t="s">
        <v>131</v>
      </c>
      <c r="AA743" s="90">
        <v>90504</v>
      </c>
      <c r="AB743" t="s">
        <v>227</v>
      </c>
      <c r="AC743" t="s">
        <v>147</v>
      </c>
      <c r="AD743" t="s">
        <v>148</v>
      </c>
    </row>
    <row r="744" spans="2:30" x14ac:dyDescent="0.25">
      <c r="B744">
        <v>100358</v>
      </c>
      <c r="C744" t="s">
        <v>1399</v>
      </c>
      <c r="D744">
        <v>2016</v>
      </c>
      <c r="F744" s="89">
        <v>141638.096128884</v>
      </c>
      <c r="G744" s="89" t="s">
        <v>128</v>
      </c>
      <c r="H744" s="89"/>
      <c r="I744" s="89">
        <v>141638.096128884</v>
      </c>
      <c r="J744" s="89">
        <v>0</v>
      </c>
      <c r="K744" s="89">
        <v>0</v>
      </c>
      <c r="L744" s="89">
        <v>0</v>
      </c>
      <c r="M744" s="89">
        <v>0</v>
      </c>
      <c r="N744" s="89"/>
      <c r="O744" s="89">
        <v>141638.096128884</v>
      </c>
      <c r="P744" s="89">
        <v>0</v>
      </c>
      <c r="Q744" s="89">
        <v>0</v>
      </c>
      <c r="R744" s="89">
        <v>141638.096128884</v>
      </c>
      <c r="S744" s="89">
        <v>0</v>
      </c>
      <c r="T744"/>
      <c r="U744" t="s">
        <v>155</v>
      </c>
      <c r="V744" t="s">
        <v>129</v>
      </c>
      <c r="W744" t="s">
        <v>277</v>
      </c>
      <c r="Y744" t="s">
        <v>1077</v>
      </c>
      <c r="Z744" t="s">
        <v>131</v>
      </c>
      <c r="AA744" s="90">
        <v>95377</v>
      </c>
      <c r="AB744" t="s">
        <v>132</v>
      </c>
      <c r="AC744" t="s">
        <v>385</v>
      </c>
      <c r="AD744" t="s">
        <v>140</v>
      </c>
    </row>
    <row r="745" spans="2:30" x14ac:dyDescent="0.25">
      <c r="B745">
        <v>2312</v>
      </c>
      <c r="C745" t="s">
        <v>1400</v>
      </c>
      <c r="D745">
        <v>2016</v>
      </c>
      <c r="F745" s="89">
        <v>112770.024525286</v>
      </c>
      <c r="G745" s="89" t="s">
        <v>128</v>
      </c>
      <c r="H745" s="89"/>
      <c r="I745" s="89">
        <v>0</v>
      </c>
      <c r="J745" s="89">
        <v>0</v>
      </c>
      <c r="K745" s="89">
        <v>0</v>
      </c>
      <c r="L745" s="89">
        <v>0</v>
      </c>
      <c r="M745" s="89">
        <v>112770.024525286</v>
      </c>
      <c r="N745" s="89"/>
      <c r="O745" s="89">
        <v>0</v>
      </c>
      <c r="P745" s="89">
        <v>0</v>
      </c>
      <c r="Q745" s="89">
        <v>112309.42252528601</v>
      </c>
      <c r="R745" s="89">
        <v>112309.42252528601</v>
      </c>
      <c r="S745" s="89">
        <v>460.60199999999998</v>
      </c>
      <c r="T745"/>
      <c r="U745" t="s">
        <v>155</v>
      </c>
      <c r="V745" t="s">
        <v>129</v>
      </c>
      <c r="W745" t="s">
        <v>372</v>
      </c>
      <c r="Y745" t="s">
        <v>1148</v>
      </c>
      <c r="Z745" t="s">
        <v>61</v>
      </c>
      <c r="AA745" s="9" t="s">
        <v>1401</v>
      </c>
      <c r="AB745" t="s">
        <v>158</v>
      </c>
      <c r="AC745" t="s">
        <v>136</v>
      </c>
      <c r="AD745" t="s">
        <v>137</v>
      </c>
    </row>
    <row r="746" spans="2:30" x14ac:dyDescent="0.25">
      <c r="B746">
        <v>104230</v>
      </c>
      <c r="C746" t="s">
        <v>1402</v>
      </c>
      <c r="D746">
        <v>2016</v>
      </c>
      <c r="F746" s="89">
        <v>105418.326</v>
      </c>
      <c r="G746" s="89" t="s">
        <v>128</v>
      </c>
      <c r="H746" s="89"/>
      <c r="I746" s="89">
        <v>0</v>
      </c>
      <c r="J746" s="89">
        <v>0</v>
      </c>
      <c r="K746" s="89">
        <v>0</v>
      </c>
      <c r="L746" s="89">
        <v>0</v>
      </c>
      <c r="M746" s="89">
        <v>105418.326</v>
      </c>
      <c r="N746" s="89"/>
      <c r="O746" s="89">
        <v>0</v>
      </c>
      <c r="P746" s="89">
        <v>0</v>
      </c>
      <c r="Q746" s="89">
        <v>105418.326</v>
      </c>
      <c r="R746" s="89">
        <v>105418.326</v>
      </c>
      <c r="S746" s="89">
        <v>0</v>
      </c>
      <c r="T746"/>
      <c r="U746" t="s">
        <v>155</v>
      </c>
      <c r="V746" t="s">
        <v>129</v>
      </c>
      <c r="W746" t="s">
        <v>364</v>
      </c>
      <c r="Y746" t="s">
        <v>1148</v>
      </c>
      <c r="Z746" t="s">
        <v>61</v>
      </c>
      <c r="AA746" s="9" t="s">
        <v>1403</v>
      </c>
      <c r="AB746" t="s">
        <v>158</v>
      </c>
      <c r="AC746" t="s">
        <v>136</v>
      </c>
      <c r="AD746" t="s">
        <v>137</v>
      </c>
    </row>
    <row r="747" spans="2:30" x14ac:dyDescent="0.25">
      <c r="B747">
        <v>104760</v>
      </c>
      <c r="C747" t="s">
        <v>1526</v>
      </c>
      <c r="D747">
        <v>2016</v>
      </c>
      <c r="F747" s="89">
        <v>0</v>
      </c>
      <c r="G747" s="89" t="s">
        <v>128</v>
      </c>
      <c r="H747" s="89"/>
      <c r="I747" s="89">
        <v>0</v>
      </c>
      <c r="J747" s="89">
        <v>0</v>
      </c>
      <c r="K747" s="89">
        <v>0</v>
      </c>
      <c r="L747" s="89">
        <v>0</v>
      </c>
      <c r="M747" s="89">
        <v>0</v>
      </c>
      <c r="N747" s="89"/>
      <c r="O747" s="89">
        <v>0</v>
      </c>
      <c r="P747" s="89">
        <v>0</v>
      </c>
      <c r="Q747" s="89">
        <v>0</v>
      </c>
      <c r="R747" s="89">
        <v>0</v>
      </c>
      <c r="S747" s="89">
        <v>0</v>
      </c>
      <c r="T747"/>
      <c r="U747" t="s">
        <v>129</v>
      </c>
      <c r="V747" t="s">
        <v>129</v>
      </c>
      <c r="Y747" t="s">
        <v>1527</v>
      </c>
      <c r="Z747" t="s">
        <v>145</v>
      </c>
      <c r="AA747" s="90">
        <v>86436</v>
      </c>
      <c r="AB747" t="s">
        <v>451</v>
      </c>
      <c r="AC747" t="s">
        <v>259</v>
      </c>
      <c r="AD747" t="s">
        <v>1528</v>
      </c>
    </row>
    <row r="748" spans="2:30" x14ac:dyDescent="0.25">
      <c r="B748">
        <v>101460</v>
      </c>
      <c r="C748" t="s">
        <v>1404</v>
      </c>
      <c r="D748">
        <v>2016</v>
      </c>
      <c r="F748" s="89">
        <v>34745.499721624001</v>
      </c>
      <c r="G748" s="89" t="s">
        <v>128</v>
      </c>
      <c r="H748" s="89"/>
      <c r="I748" s="89">
        <v>34745.499721624001</v>
      </c>
      <c r="J748" s="89">
        <v>0</v>
      </c>
      <c r="K748" s="89">
        <v>0</v>
      </c>
      <c r="L748" s="89">
        <v>0</v>
      </c>
      <c r="M748" s="89">
        <v>0</v>
      </c>
      <c r="N748" s="89"/>
      <c r="O748" s="89">
        <v>34689.203602399997</v>
      </c>
      <c r="P748" s="89">
        <v>0</v>
      </c>
      <c r="Q748" s="89">
        <v>0</v>
      </c>
      <c r="R748" s="89">
        <v>34689.203602399997</v>
      </c>
      <c r="S748" s="89">
        <v>56.296119224000002</v>
      </c>
      <c r="T748"/>
      <c r="U748" t="s">
        <v>155</v>
      </c>
      <c r="V748" t="s">
        <v>155</v>
      </c>
      <c r="W748" t="s">
        <v>292</v>
      </c>
      <c r="Y748" t="s">
        <v>775</v>
      </c>
      <c r="Z748" t="s">
        <v>131</v>
      </c>
      <c r="AA748" s="90">
        <v>93268</v>
      </c>
      <c r="AB748" t="s">
        <v>170</v>
      </c>
      <c r="AC748" t="s">
        <v>175</v>
      </c>
      <c r="AD748" t="s">
        <v>176</v>
      </c>
    </row>
    <row r="749" spans="2:30" x14ac:dyDescent="0.25">
      <c r="B749">
        <v>104005</v>
      </c>
      <c r="C749" t="s">
        <v>1405</v>
      </c>
      <c r="D749">
        <v>2016</v>
      </c>
      <c r="F749" s="89">
        <v>46555.929576101902</v>
      </c>
      <c r="G749" s="89" t="s">
        <v>128</v>
      </c>
      <c r="H749" s="89"/>
      <c r="I749" s="89">
        <v>46555.929576101902</v>
      </c>
      <c r="J749" s="89">
        <v>0</v>
      </c>
      <c r="K749" s="89">
        <v>0</v>
      </c>
      <c r="L749" s="89">
        <v>0</v>
      </c>
      <c r="M749" s="89">
        <v>0</v>
      </c>
      <c r="N749" s="89"/>
      <c r="O749" s="89">
        <v>41848.928599195198</v>
      </c>
      <c r="P749" s="89">
        <v>0</v>
      </c>
      <c r="Q749" s="89">
        <v>0</v>
      </c>
      <c r="R749" s="89">
        <v>41848.928599195198</v>
      </c>
      <c r="S749" s="89">
        <v>4707.0009769066701</v>
      </c>
      <c r="T749"/>
      <c r="U749" t="s">
        <v>155</v>
      </c>
      <c r="V749" t="s">
        <v>155</v>
      </c>
      <c r="W749" t="s">
        <v>232</v>
      </c>
      <c r="Y749" t="s">
        <v>178</v>
      </c>
      <c r="Z749" t="s">
        <v>131</v>
      </c>
      <c r="AA749" s="90">
        <v>93308</v>
      </c>
      <c r="AB749" t="s">
        <v>229</v>
      </c>
      <c r="AC749" t="s">
        <v>742</v>
      </c>
      <c r="AD749" t="s">
        <v>230</v>
      </c>
    </row>
    <row r="750" spans="2:30" x14ac:dyDescent="0.25">
      <c r="B750">
        <v>104639</v>
      </c>
      <c r="C750" t="s">
        <v>1531</v>
      </c>
      <c r="D750">
        <v>2016</v>
      </c>
      <c r="F750" s="89">
        <v>0</v>
      </c>
      <c r="G750" s="89" t="s">
        <v>128</v>
      </c>
      <c r="H750" s="89"/>
      <c r="I750" s="89">
        <v>0</v>
      </c>
      <c r="J750" s="89">
        <v>0</v>
      </c>
      <c r="K750" s="89">
        <v>0</v>
      </c>
      <c r="L750" s="89">
        <v>0</v>
      </c>
      <c r="M750" s="89">
        <v>0</v>
      </c>
      <c r="N750" s="89"/>
      <c r="O750" s="89">
        <v>0</v>
      </c>
      <c r="P750" s="89">
        <v>0</v>
      </c>
      <c r="Q750" s="89">
        <v>0</v>
      </c>
      <c r="R750" s="89">
        <v>0</v>
      </c>
      <c r="S750" s="89">
        <v>0</v>
      </c>
      <c r="T750"/>
      <c r="U750" t="s">
        <v>129</v>
      </c>
      <c r="V750" t="s">
        <v>129</v>
      </c>
      <c r="Y750" t="s">
        <v>1532</v>
      </c>
      <c r="Z750" t="s">
        <v>131</v>
      </c>
      <c r="AA750" s="90">
        <v>96093</v>
      </c>
      <c r="AB750" t="s">
        <v>158</v>
      </c>
      <c r="AC750" t="s">
        <v>136</v>
      </c>
      <c r="AD750" t="s">
        <v>137</v>
      </c>
    </row>
    <row r="751" spans="2:30" x14ac:dyDescent="0.25">
      <c r="B751">
        <v>3063</v>
      </c>
      <c r="C751" t="s">
        <v>1406</v>
      </c>
      <c r="D751">
        <v>2016</v>
      </c>
      <c r="F751" s="89">
        <v>67517.809742540296</v>
      </c>
      <c r="G751" s="89" t="s">
        <v>128</v>
      </c>
      <c r="H751" s="89"/>
      <c r="I751" s="89">
        <v>0</v>
      </c>
      <c r="J751" s="89">
        <v>0</v>
      </c>
      <c r="K751" s="89">
        <v>0</v>
      </c>
      <c r="L751" s="89">
        <v>0</v>
      </c>
      <c r="M751" s="89">
        <v>67517.809742540296</v>
      </c>
      <c r="N751" s="89"/>
      <c r="O751" s="89">
        <v>0</v>
      </c>
      <c r="P751" s="89">
        <v>0</v>
      </c>
      <c r="Q751" s="89">
        <v>34960.129645780398</v>
      </c>
      <c r="R751" s="89">
        <v>34960.129645780398</v>
      </c>
      <c r="S751" s="89">
        <v>32557.680096759901</v>
      </c>
      <c r="T751"/>
      <c r="U751" t="s">
        <v>155</v>
      </c>
      <c r="V751" t="s">
        <v>129</v>
      </c>
      <c r="W751" t="s">
        <v>156</v>
      </c>
      <c r="Y751" t="s">
        <v>1407</v>
      </c>
      <c r="Z751" t="s">
        <v>131</v>
      </c>
      <c r="AA751" s="90">
        <v>96161</v>
      </c>
      <c r="AB751" t="s">
        <v>158</v>
      </c>
      <c r="AC751" t="s">
        <v>136</v>
      </c>
      <c r="AD751" t="s">
        <v>137</v>
      </c>
    </row>
    <row r="752" spans="2:30" x14ac:dyDescent="0.25">
      <c r="B752">
        <v>100952</v>
      </c>
      <c r="C752" t="s">
        <v>1408</v>
      </c>
      <c r="D752">
        <v>2016</v>
      </c>
      <c r="F752" s="89">
        <v>25593.3457504</v>
      </c>
      <c r="G752" s="89" t="s">
        <v>128</v>
      </c>
      <c r="H752" s="89"/>
      <c r="I752" s="89">
        <v>25593.3457504</v>
      </c>
      <c r="J752" s="89">
        <v>0</v>
      </c>
      <c r="K752" s="89">
        <v>0</v>
      </c>
      <c r="L752" s="89">
        <v>0</v>
      </c>
      <c r="M752" s="89">
        <v>0</v>
      </c>
      <c r="N752" s="89"/>
      <c r="O752" s="89">
        <v>25593.3457504</v>
      </c>
      <c r="P752" s="89">
        <v>0</v>
      </c>
      <c r="Q752" s="89">
        <v>0</v>
      </c>
      <c r="R752" s="89">
        <v>25593.3457504</v>
      </c>
      <c r="S752" s="89">
        <v>0</v>
      </c>
      <c r="T752"/>
      <c r="U752" t="s">
        <v>155</v>
      </c>
      <c r="V752" t="s">
        <v>155</v>
      </c>
      <c r="W752" t="s">
        <v>215</v>
      </c>
      <c r="Y752" t="s">
        <v>440</v>
      </c>
      <c r="Z752" t="s">
        <v>131</v>
      </c>
      <c r="AA752" s="90">
        <v>92337</v>
      </c>
      <c r="AB752" t="s">
        <v>615</v>
      </c>
      <c r="AC752" t="s">
        <v>0</v>
      </c>
      <c r="AD752" t="s">
        <v>143</v>
      </c>
    </row>
    <row r="753" spans="2:30" x14ac:dyDescent="0.25">
      <c r="B753">
        <v>3064</v>
      </c>
      <c r="C753" t="s">
        <v>1409</v>
      </c>
      <c r="D753">
        <v>2016</v>
      </c>
      <c r="F753" s="89">
        <v>395711.04790379398</v>
      </c>
      <c r="G753" s="89" t="s">
        <v>128</v>
      </c>
      <c r="H753" s="89"/>
      <c r="I753" s="89">
        <v>0</v>
      </c>
      <c r="J753" s="89">
        <v>0</v>
      </c>
      <c r="K753" s="89">
        <v>0</v>
      </c>
      <c r="L753" s="89">
        <v>0</v>
      </c>
      <c r="M753" s="89">
        <v>395711.04790379398</v>
      </c>
      <c r="N753" s="89"/>
      <c r="O753" s="89">
        <v>0</v>
      </c>
      <c r="P753" s="89">
        <v>0</v>
      </c>
      <c r="Q753" s="89">
        <v>298487.85190379398</v>
      </c>
      <c r="R753" s="89">
        <v>298487.85190379398</v>
      </c>
      <c r="S753" s="89">
        <v>97223.195999999996</v>
      </c>
      <c r="T753"/>
      <c r="U753" t="s">
        <v>155</v>
      </c>
      <c r="V753" t="s">
        <v>129</v>
      </c>
      <c r="W753" t="s">
        <v>337</v>
      </c>
      <c r="Y753" t="s">
        <v>401</v>
      </c>
      <c r="Z753" t="s">
        <v>131</v>
      </c>
      <c r="AA753" s="90">
        <v>90120</v>
      </c>
      <c r="AB753" t="s">
        <v>158</v>
      </c>
      <c r="AC753" t="s">
        <v>136</v>
      </c>
      <c r="AD753" t="s">
        <v>137</v>
      </c>
    </row>
    <row r="754" spans="2:30" x14ac:dyDescent="0.25">
      <c r="B754">
        <v>100111</v>
      </c>
      <c r="C754" t="s">
        <v>1410</v>
      </c>
      <c r="D754">
        <v>2016</v>
      </c>
      <c r="F754" s="89">
        <v>63862.337112000001</v>
      </c>
      <c r="G754" s="89" t="s">
        <v>128</v>
      </c>
      <c r="H754" s="89"/>
      <c r="I754" s="89">
        <v>63862.337112000001</v>
      </c>
      <c r="J754" s="89">
        <v>0</v>
      </c>
      <c r="K754" s="89">
        <v>0</v>
      </c>
      <c r="L754" s="89">
        <v>0</v>
      </c>
      <c r="M754" s="89">
        <v>0</v>
      </c>
      <c r="N754" s="89"/>
      <c r="O754" s="89">
        <v>63862.337112000001</v>
      </c>
      <c r="P754" s="89">
        <v>0</v>
      </c>
      <c r="Q754" s="89">
        <v>0</v>
      </c>
      <c r="R754" s="89">
        <v>63862.337112000001</v>
      </c>
      <c r="S754" s="89">
        <v>0</v>
      </c>
      <c r="T754"/>
      <c r="U754" t="s">
        <v>155</v>
      </c>
      <c r="V754" t="s">
        <v>129</v>
      </c>
      <c r="W754" t="s">
        <v>337</v>
      </c>
      <c r="Y754" t="s">
        <v>357</v>
      </c>
      <c r="Z754" t="s">
        <v>131</v>
      </c>
      <c r="AA754" s="90">
        <v>95358</v>
      </c>
      <c r="AB754" t="s">
        <v>132</v>
      </c>
      <c r="AC754" t="s">
        <v>0</v>
      </c>
      <c r="AD754" t="s">
        <v>140</v>
      </c>
    </row>
    <row r="755" spans="2:30" x14ac:dyDescent="0.25">
      <c r="B755">
        <v>100371</v>
      </c>
      <c r="C755" t="s">
        <v>1411</v>
      </c>
      <c r="D755">
        <v>2016</v>
      </c>
      <c r="F755" s="89">
        <v>538067.67671200004</v>
      </c>
      <c r="G755" s="89" t="s">
        <v>128</v>
      </c>
      <c r="H755" s="89"/>
      <c r="I755" s="89">
        <v>538067.67671200004</v>
      </c>
      <c r="J755" s="89">
        <v>0</v>
      </c>
      <c r="K755" s="89">
        <v>0</v>
      </c>
      <c r="L755" s="89">
        <v>0</v>
      </c>
      <c r="M755" s="89">
        <v>0</v>
      </c>
      <c r="N755" s="89"/>
      <c r="O755" s="89">
        <v>538067.67671200004</v>
      </c>
      <c r="P755" s="89">
        <v>0</v>
      </c>
      <c r="Q755" s="89">
        <v>0</v>
      </c>
      <c r="R755" s="89">
        <v>538067.67671200004</v>
      </c>
      <c r="S755" s="89">
        <v>0</v>
      </c>
      <c r="T755"/>
      <c r="U755" t="s">
        <v>155</v>
      </c>
      <c r="V755" t="s">
        <v>129</v>
      </c>
      <c r="W755" t="s">
        <v>337</v>
      </c>
      <c r="Y755" t="s">
        <v>401</v>
      </c>
      <c r="Z755" t="s">
        <v>131</v>
      </c>
      <c r="AA755" s="90">
        <v>95380</v>
      </c>
      <c r="AB755" t="s">
        <v>132</v>
      </c>
      <c r="AC755" t="s">
        <v>0</v>
      </c>
      <c r="AD755" t="s">
        <v>140</v>
      </c>
    </row>
    <row r="756" spans="2:30" x14ac:dyDescent="0.25">
      <c r="B756">
        <v>5010</v>
      </c>
      <c r="C756" t="s">
        <v>1412</v>
      </c>
      <c r="D756">
        <v>2016</v>
      </c>
      <c r="F756" s="89">
        <v>0</v>
      </c>
      <c r="G756" s="89" t="s">
        <v>128</v>
      </c>
      <c r="H756" s="89"/>
      <c r="I756" s="89">
        <v>0</v>
      </c>
      <c r="J756" s="89">
        <v>0</v>
      </c>
      <c r="K756" s="89">
        <v>0</v>
      </c>
      <c r="L756" s="89">
        <v>0</v>
      </c>
      <c r="M756" s="89">
        <v>0</v>
      </c>
      <c r="N756" s="89"/>
      <c r="O756" s="89">
        <v>0</v>
      </c>
      <c r="P756" s="89">
        <v>0</v>
      </c>
      <c r="Q756" s="89">
        <v>0</v>
      </c>
      <c r="R756" s="89">
        <v>0</v>
      </c>
      <c r="S756" s="89">
        <v>0</v>
      </c>
      <c r="T756"/>
      <c r="U756" t="s">
        <v>129</v>
      </c>
      <c r="V756" t="s">
        <v>129</v>
      </c>
      <c r="Y756" t="s">
        <v>306</v>
      </c>
      <c r="Z756" t="s">
        <v>307</v>
      </c>
      <c r="AA756" s="90">
        <v>90120</v>
      </c>
      <c r="AB756" t="s">
        <v>451</v>
      </c>
      <c r="AC756" t="s">
        <v>259</v>
      </c>
      <c r="AD756" t="s">
        <v>260</v>
      </c>
    </row>
    <row r="757" spans="2:30" x14ac:dyDescent="0.25">
      <c r="B757">
        <v>104515</v>
      </c>
      <c r="C757" t="s">
        <v>1413</v>
      </c>
      <c r="D757">
        <v>2016</v>
      </c>
      <c r="F757" s="89">
        <v>18921.383519999999</v>
      </c>
      <c r="G757" s="89" t="s">
        <v>128</v>
      </c>
      <c r="H757" s="89"/>
      <c r="I757" s="89">
        <v>0</v>
      </c>
      <c r="J757" s="89">
        <v>0</v>
      </c>
      <c r="K757" s="89">
        <v>0</v>
      </c>
      <c r="L757" s="89">
        <v>0</v>
      </c>
      <c r="M757" s="89">
        <v>18921.383519999999</v>
      </c>
      <c r="N757" s="89"/>
      <c r="O757" s="89">
        <v>0</v>
      </c>
      <c r="P757" s="89">
        <v>0</v>
      </c>
      <c r="Q757" s="89">
        <v>18921.383519999999</v>
      </c>
      <c r="R757" s="89">
        <v>18921.383519999999</v>
      </c>
      <c r="S757" s="89">
        <v>0</v>
      </c>
      <c r="T757"/>
      <c r="U757" t="s">
        <v>155</v>
      </c>
      <c r="V757" t="s">
        <v>129</v>
      </c>
      <c r="W757" t="s">
        <v>372</v>
      </c>
      <c r="Y757" t="s">
        <v>359</v>
      </c>
      <c r="Z757" t="s">
        <v>360</v>
      </c>
      <c r="AA757" s="90">
        <v>77040</v>
      </c>
      <c r="AB757" t="s">
        <v>527</v>
      </c>
      <c r="AC757" t="s">
        <v>136</v>
      </c>
      <c r="AD757" t="s">
        <v>137</v>
      </c>
    </row>
    <row r="758" spans="2:30" x14ac:dyDescent="0.25">
      <c r="B758">
        <v>100300</v>
      </c>
      <c r="C758" t="s">
        <v>1414</v>
      </c>
      <c r="D758">
        <v>2016</v>
      </c>
      <c r="F758" s="89">
        <v>351099.352977034</v>
      </c>
      <c r="G758" s="89" t="s">
        <v>128</v>
      </c>
      <c r="H758" s="89"/>
      <c r="I758" s="89">
        <v>351099.352977034</v>
      </c>
      <c r="J758" s="89">
        <v>0</v>
      </c>
      <c r="K758" s="89">
        <v>0</v>
      </c>
      <c r="L758" s="89">
        <v>0</v>
      </c>
      <c r="M758" s="89">
        <v>0</v>
      </c>
      <c r="N758" s="89"/>
      <c r="O758" s="89">
        <v>351099.352977034</v>
      </c>
      <c r="P758" s="89">
        <v>0</v>
      </c>
      <c r="Q758" s="89">
        <v>0</v>
      </c>
      <c r="R758" s="89">
        <v>351099.352977034</v>
      </c>
      <c r="S758" s="89">
        <v>0</v>
      </c>
      <c r="T758"/>
      <c r="U758" t="s">
        <v>155</v>
      </c>
      <c r="V758" t="s">
        <v>129</v>
      </c>
      <c r="W758" t="s">
        <v>197</v>
      </c>
      <c r="Y758" t="s">
        <v>914</v>
      </c>
      <c r="Z758" t="s">
        <v>131</v>
      </c>
      <c r="AA758" s="90">
        <v>93516</v>
      </c>
      <c r="AB758" t="s">
        <v>1262</v>
      </c>
      <c r="AC758" t="s">
        <v>0</v>
      </c>
      <c r="AD758" t="s">
        <v>143</v>
      </c>
    </row>
    <row r="759" spans="2:30" x14ac:dyDescent="0.25">
      <c r="B759">
        <v>101271</v>
      </c>
      <c r="C759" t="s">
        <v>1415</v>
      </c>
      <c r="D759">
        <v>2016</v>
      </c>
      <c r="F759" s="89">
        <v>65283.331172799997</v>
      </c>
      <c r="G759" s="89" t="s">
        <v>128</v>
      </c>
      <c r="H759" s="89"/>
      <c r="I759" s="89">
        <v>65283.331172799997</v>
      </c>
      <c r="J759" s="89">
        <v>0</v>
      </c>
      <c r="K759" s="89">
        <v>0</v>
      </c>
      <c r="L759" s="89">
        <v>0</v>
      </c>
      <c r="M759" s="89">
        <v>0</v>
      </c>
      <c r="N759" s="89"/>
      <c r="O759" s="89">
        <v>65283.331172799997</v>
      </c>
      <c r="P759" s="89">
        <v>0</v>
      </c>
      <c r="Q759" s="89">
        <v>0</v>
      </c>
      <c r="R759" s="89">
        <v>65283.331172799997</v>
      </c>
      <c r="S759" s="89">
        <v>0</v>
      </c>
      <c r="T759"/>
      <c r="U759" t="s">
        <v>155</v>
      </c>
      <c r="V759" t="s">
        <v>155</v>
      </c>
      <c r="W759" t="s">
        <v>197</v>
      </c>
      <c r="Y759" t="s">
        <v>786</v>
      </c>
      <c r="Z759" t="s">
        <v>131</v>
      </c>
      <c r="AA759" s="90">
        <v>92243</v>
      </c>
      <c r="AB759" t="s">
        <v>731</v>
      </c>
      <c r="AC759" t="s">
        <v>0</v>
      </c>
      <c r="AD759" t="s">
        <v>143</v>
      </c>
    </row>
    <row r="760" spans="2:30" x14ac:dyDescent="0.25">
      <c r="B760">
        <v>104068</v>
      </c>
      <c r="C760" t="s">
        <v>1416</v>
      </c>
      <c r="D760">
        <v>2016</v>
      </c>
      <c r="F760" s="89">
        <v>63139.847852364001</v>
      </c>
      <c r="G760" s="89" t="s">
        <v>128</v>
      </c>
      <c r="H760" s="89"/>
      <c r="I760" s="89">
        <v>63139.847852364001</v>
      </c>
      <c r="J760" s="89">
        <v>0</v>
      </c>
      <c r="K760" s="89">
        <v>0</v>
      </c>
      <c r="L760" s="89">
        <v>0</v>
      </c>
      <c r="M760" s="89">
        <v>0</v>
      </c>
      <c r="N760" s="89"/>
      <c r="O760" s="89">
        <v>63134.297315999996</v>
      </c>
      <c r="P760" s="89">
        <v>0</v>
      </c>
      <c r="Q760" s="89">
        <v>0</v>
      </c>
      <c r="R760" s="89">
        <v>63134.297315999996</v>
      </c>
      <c r="S760" s="89">
        <v>5.5505363640000001</v>
      </c>
      <c r="T760"/>
      <c r="U760" t="s">
        <v>155</v>
      </c>
      <c r="V760" t="s">
        <v>129</v>
      </c>
      <c r="W760" t="s">
        <v>337</v>
      </c>
      <c r="Y760" t="s">
        <v>134</v>
      </c>
      <c r="Z760" t="s">
        <v>131</v>
      </c>
      <c r="AA760" s="90">
        <v>95817</v>
      </c>
      <c r="AB760" t="s">
        <v>500</v>
      </c>
      <c r="AC760" t="s">
        <v>0</v>
      </c>
      <c r="AD760" t="s">
        <v>143</v>
      </c>
    </row>
    <row r="761" spans="2:30" x14ac:dyDescent="0.25">
      <c r="B761">
        <v>101205</v>
      </c>
      <c r="C761" t="s">
        <v>1417</v>
      </c>
      <c r="D761">
        <v>2016</v>
      </c>
      <c r="F761" s="89">
        <v>1018610.7648198199</v>
      </c>
      <c r="G761" s="89" t="s">
        <v>128</v>
      </c>
      <c r="H761" s="89"/>
      <c r="I761" s="89">
        <v>1018610.7648198199</v>
      </c>
      <c r="J761" s="89">
        <v>0</v>
      </c>
      <c r="K761" s="89">
        <v>0</v>
      </c>
      <c r="L761" s="89">
        <v>0</v>
      </c>
      <c r="M761" s="89">
        <v>0</v>
      </c>
      <c r="N761" s="89"/>
      <c r="O761" s="89">
        <v>1018176.6356690601</v>
      </c>
      <c r="P761" s="89">
        <v>0</v>
      </c>
      <c r="Q761" s="89">
        <v>0</v>
      </c>
      <c r="R761" s="89">
        <v>1018176.6356690601</v>
      </c>
      <c r="S761" s="89">
        <v>434.12915076299998</v>
      </c>
      <c r="T761"/>
      <c r="U761" t="s">
        <v>210</v>
      </c>
      <c r="V761" t="s">
        <v>155</v>
      </c>
      <c r="W761" t="s">
        <v>645</v>
      </c>
      <c r="Y761" t="s">
        <v>211</v>
      </c>
      <c r="Z761" t="s">
        <v>131</v>
      </c>
      <c r="AA761" s="90">
        <v>90744</v>
      </c>
      <c r="AB761" t="s">
        <v>229</v>
      </c>
      <c r="AC761" t="s">
        <v>742</v>
      </c>
      <c r="AD761" t="s">
        <v>230</v>
      </c>
    </row>
    <row r="762" spans="2:30" x14ac:dyDescent="0.25">
      <c r="B762">
        <v>104062</v>
      </c>
      <c r="C762" t="s">
        <v>1418</v>
      </c>
      <c r="D762">
        <v>2016</v>
      </c>
      <c r="F762" s="89">
        <v>622113.88697599899</v>
      </c>
      <c r="G762" s="89" t="s">
        <v>128</v>
      </c>
      <c r="H762" s="89"/>
      <c r="I762" s="89">
        <v>0</v>
      </c>
      <c r="J762" s="89">
        <v>0</v>
      </c>
      <c r="K762" s="89">
        <v>622113.88697599899</v>
      </c>
      <c r="L762" s="89">
        <v>0</v>
      </c>
      <c r="M762" s="89">
        <v>0</v>
      </c>
      <c r="N762" s="89"/>
      <c r="O762" s="89">
        <v>0</v>
      </c>
      <c r="P762" s="89">
        <v>622113.88697599899</v>
      </c>
      <c r="Q762" s="89">
        <v>0</v>
      </c>
      <c r="R762" s="89">
        <v>622113.88697599899</v>
      </c>
      <c r="S762" s="89">
        <v>0</v>
      </c>
      <c r="T762"/>
      <c r="U762" t="s">
        <v>155</v>
      </c>
      <c r="V762" t="s">
        <v>129</v>
      </c>
      <c r="W762" t="s">
        <v>565</v>
      </c>
      <c r="Y762" t="s">
        <v>1419</v>
      </c>
      <c r="Z762" t="s">
        <v>1005</v>
      </c>
      <c r="AA762" s="90">
        <v>68179</v>
      </c>
      <c r="AB762" t="s">
        <v>343</v>
      </c>
      <c r="AC762" t="s">
        <v>147</v>
      </c>
      <c r="AD762" t="s">
        <v>148</v>
      </c>
    </row>
    <row r="763" spans="2:30" x14ac:dyDescent="0.25">
      <c r="B763">
        <v>104695</v>
      </c>
      <c r="C763" t="s">
        <v>1420</v>
      </c>
      <c r="D763">
        <v>2016</v>
      </c>
      <c r="F763" s="89">
        <v>0</v>
      </c>
      <c r="G763" s="89" t="s">
        <v>128</v>
      </c>
      <c r="H763" s="89"/>
      <c r="I763" s="89">
        <v>0</v>
      </c>
      <c r="J763" s="89">
        <v>0</v>
      </c>
      <c r="K763" s="89">
        <v>0</v>
      </c>
      <c r="L763" s="89">
        <v>0</v>
      </c>
      <c r="M763" s="89">
        <v>0</v>
      </c>
      <c r="N763" s="89"/>
      <c r="O763" s="89">
        <v>0</v>
      </c>
      <c r="P763" s="89">
        <v>0</v>
      </c>
      <c r="Q763" s="89">
        <v>0</v>
      </c>
      <c r="R763" s="89">
        <v>0</v>
      </c>
      <c r="S763" s="89">
        <v>0</v>
      </c>
      <c r="T763"/>
      <c r="U763" t="s">
        <v>155</v>
      </c>
      <c r="V763" t="s">
        <v>129</v>
      </c>
      <c r="W763" t="s">
        <v>1511</v>
      </c>
      <c r="Y763" t="s">
        <v>1421</v>
      </c>
      <c r="Z763" t="s">
        <v>145</v>
      </c>
      <c r="AA763" s="90">
        <v>85701</v>
      </c>
      <c r="AB763" t="s">
        <v>381</v>
      </c>
      <c r="AC763" t="s">
        <v>136</v>
      </c>
      <c r="AD763" t="s">
        <v>137</v>
      </c>
    </row>
    <row r="764" spans="2:30" x14ac:dyDescent="0.25">
      <c r="B764">
        <v>101124</v>
      </c>
      <c r="C764" t="s">
        <v>1422</v>
      </c>
      <c r="D764">
        <v>2016</v>
      </c>
      <c r="F764" s="89">
        <v>25697.8290723684</v>
      </c>
      <c r="G764" s="89" t="s">
        <v>128</v>
      </c>
      <c r="H764" s="89"/>
      <c r="I764" s="89">
        <v>25697.8290723684</v>
      </c>
      <c r="J764" s="89">
        <v>0</v>
      </c>
      <c r="K764" s="89">
        <v>0</v>
      </c>
      <c r="L764" s="89">
        <v>0</v>
      </c>
      <c r="M764" s="89">
        <v>0</v>
      </c>
      <c r="N764" s="89"/>
      <c r="O764" s="89">
        <v>21220.346851056001</v>
      </c>
      <c r="P764" s="89">
        <v>0</v>
      </c>
      <c r="Q764" s="89">
        <v>0</v>
      </c>
      <c r="R764" s="89">
        <v>21220.346851056001</v>
      </c>
      <c r="S764" s="89">
        <v>4477.4822213124398</v>
      </c>
      <c r="T764"/>
      <c r="U764" t="s">
        <v>155</v>
      </c>
      <c r="V764" t="s">
        <v>129</v>
      </c>
      <c r="W764" t="s">
        <v>337</v>
      </c>
      <c r="Y764" t="s">
        <v>573</v>
      </c>
      <c r="Z764" t="s">
        <v>131</v>
      </c>
      <c r="AA764" s="90">
        <v>94128</v>
      </c>
      <c r="AB764" t="s">
        <v>1423</v>
      </c>
      <c r="AC764" t="s">
        <v>0</v>
      </c>
      <c r="AD764" t="s">
        <v>143</v>
      </c>
    </row>
    <row r="765" spans="2:30" x14ac:dyDescent="0.25">
      <c r="B765">
        <v>104545</v>
      </c>
      <c r="C765" t="s">
        <v>1424</v>
      </c>
      <c r="D765">
        <v>2016</v>
      </c>
      <c r="F765" s="89">
        <v>24573.365104168901</v>
      </c>
      <c r="G765" s="89" t="s">
        <v>128</v>
      </c>
      <c r="H765" s="89"/>
      <c r="I765" s="89">
        <v>0</v>
      </c>
      <c r="J765" s="89">
        <v>0</v>
      </c>
      <c r="K765" s="89">
        <v>24573.365104168901</v>
      </c>
      <c r="L765" s="89">
        <v>0</v>
      </c>
      <c r="M765" s="89">
        <v>0</v>
      </c>
      <c r="N765" s="89"/>
      <c r="O765" s="89">
        <v>0</v>
      </c>
      <c r="P765" s="89">
        <v>24573.365104168901</v>
      </c>
      <c r="Q765" s="89">
        <v>0</v>
      </c>
      <c r="R765" s="89">
        <v>24573.365104168901</v>
      </c>
      <c r="S765" s="89">
        <v>0</v>
      </c>
      <c r="T765"/>
      <c r="U765" t="s">
        <v>155</v>
      </c>
      <c r="V765" t="s">
        <v>129</v>
      </c>
      <c r="W765" t="s">
        <v>215</v>
      </c>
      <c r="Y765" t="s">
        <v>1373</v>
      </c>
      <c r="Z765" t="s">
        <v>1008</v>
      </c>
      <c r="AA765" s="90">
        <v>89509</v>
      </c>
      <c r="AB765" t="s">
        <v>146</v>
      </c>
      <c r="AC765" t="s">
        <v>259</v>
      </c>
      <c r="AD765" t="s">
        <v>260</v>
      </c>
    </row>
    <row r="766" spans="2:30" x14ac:dyDescent="0.25">
      <c r="B766">
        <v>101469</v>
      </c>
      <c r="C766" t="s">
        <v>1425</v>
      </c>
      <c r="D766">
        <v>2016</v>
      </c>
      <c r="F766" s="89">
        <v>40780.593978749697</v>
      </c>
      <c r="G766" s="89" t="s">
        <v>128</v>
      </c>
      <c r="H766" s="89"/>
      <c r="I766" s="89">
        <v>40780.593978749697</v>
      </c>
      <c r="J766" s="89">
        <v>0</v>
      </c>
      <c r="K766" s="89">
        <v>0</v>
      </c>
      <c r="L766" s="89">
        <v>0</v>
      </c>
      <c r="M766" s="89">
        <v>0</v>
      </c>
      <c r="N766" s="89"/>
      <c r="O766" s="89">
        <v>40780.593978749697</v>
      </c>
      <c r="P766" s="89">
        <v>0</v>
      </c>
      <c r="Q766" s="89">
        <v>0</v>
      </c>
      <c r="R766" s="89">
        <v>40780.593978749697</v>
      </c>
      <c r="S766" s="89">
        <v>0</v>
      </c>
      <c r="T766"/>
      <c r="U766" t="s">
        <v>155</v>
      </c>
      <c r="V766" t="s">
        <v>155</v>
      </c>
      <c r="W766" t="s">
        <v>364</v>
      </c>
      <c r="Y766" t="s">
        <v>1426</v>
      </c>
      <c r="Z766" t="s">
        <v>131</v>
      </c>
      <c r="AA766" s="90">
        <v>94587</v>
      </c>
      <c r="AB766" t="s">
        <v>163</v>
      </c>
      <c r="AC766" t="s">
        <v>0</v>
      </c>
      <c r="AD766" t="s">
        <v>143</v>
      </c>
    </row>
    <row r="767" spans="2:30" x14ac:dyDescent="0.25">
      <c r="B767">
        <v>104514</v>
      </c>
      <c r="C767" t="s">
        <v>1427</v>
      </c>
      <c r="D767">
        <v>2016</v>
      </c>
      <c r="F767" s="89">
        <v>4993.0512325332402</v>
      </c>
      <c r="G767" s="89" t="s">
        <v>128</v>
      </c>
      <c r="H767" s="89"/>
      <c r="I767" s="89">
        <v>4993.0512325332402</v>
      </c>
      <c r="J767" s="89">
        <v>0</v>
      </c>
      <c r="K767" s="89">
        <v>0</v>
      </c>
      <c r="L767" s="89">
        <v>0</v>
      </c>
      <c r="M767" s="89">
        <v>0</v>
      </c>
      <c r="N767" s="89"/>
      <c r="O767" s="89">
        <v>4992.5656665761398</v>
      </c>
      <c r="P767" s="89">
        <v>0</v>
      </c>
      <c r="Q767" s="89">
        <v>0</v>
      </c>
      <c r="R767" s="89">
        <v>4992.5656665761398</v>
      </c>
      <c r="S767" s="89">
        <v>0.48556595709599998</v>
      </c>
      <c r="T767"/>
      <c r="U767" t="s">
        <v>155</v>
      </c>
      <c r="V767" t="s">
        <v>129</v>
      </c>
      <c r="W767" t="s">
        <v>337</v>
      </c>
      <c r="Y767" t="s">
        <v>322</v>
      </c>
      <c r="Z767" t="s">
        <v>131</v>
      </c>
      <c r="AA767" s="90">
        <v>94720</v>
      </c>
      <c r="AB767" t="s">
        <v>335</v>
      </c>
      <c r="AC767" t="s">
        <v>0</v>
      </c>
      <c r="AD767" t="s">
        <v>143</v>
      </c>
    </row>
    <row r="768" spans="2:30" x14ac:dyDescent="0.25">
      <c r="B768">
        <v>100305</v>
      </c>
      <c r="C768" t="s">
        <v>1428</v>
      </c>
      <c r="D768">
        <v>2016</v>
      </c>
      <c r="F768" s="89">
        <v>54241.7764352222</v>
      </c>
      <c r="G768" s="89" t="s">
        <v>128</v>
      </c>
      <c r="H768" s="89"/>
      <c r="I768" s="89">
        <v>54241.7764352222</v>
      </c>
      <c r="J768" s="89">
        <v>0</v>
      </c>
      <c r="K768" s="89">
        <v>0</v>
      </c>
      <c r="L768" s="89">
        <v>0</v>
      </c>
      <c r="M768" s="89">
        <v>0</v>
      </c>
      <c r="N768" s="89"/>
      <c r="O768" s="89">
        <v>53875.635223776</v>
      </c>
      <c r="P768" s="89">
        <v>0</v>
      </c>
      <c r="Q768" s="89">
        <v>0</v>
      </c>
      <c r="R768" s="89">
        <v>53875.635223776</v>
      </c>
      <c r="S768" s="89">
        <v>366.14121144628001</v>
      </c>
      <c r="T768"/>
      <c r="U768" t="s">
        <v>155</v>
      </c>
      <c r="V768" t="s">
        <v>129</v>
      </c>
      <c r="W768" t="s">
        <v>337</v>
      </c>
      <c r="Y768" t="s">
        <v>973</v>
      </c>
      <c r="Z768" t="s">
        <v>131</v>
      </c>
      <c r="AA768" s="90">
        <v>95616</v>
      </c>
      <c r="AB768" t="s">
        <v>335</v>
      </c>
      <c r="AC768" t="s">
        <v>0</v>
      </c>
      <c r="AD768" t="s">
        <v>143</v>
      </c>
    </row>
    <row r="769" spans="2:30" x14ac:dyDescent="0.25">
      <c r="B769">
        <v>101296</v>
      </c>
      <c r="C769" t="s">
        <v>1429</v>
      </c>
      <c r="D769">
        <v>2016</v>
      </c>
      <c r="F769" s="89">
        <v>71428.683311556801</v>
      </c>
      <c r="G769" s="89" t="s">
        <v>128</v>
      </c>
      <c r="H769" s="89"/>
      <c r="I769" s="89">
        <v>71428.683311556801</v>
      </c>
      <c r="J769" s="89">
        <v>0</v>
      </c>
      <c r="K769" s="89">
        <v>0</v>
      </c>
      <c r="L769" s="89">
        <v>0</v>
      </c>
      <c r="M769" s="89">
        <v>0</v>
      </c>
      <c r="N769" s="89"/>
      <c r="O769" s="89">
        <v>71425.325599332806</v>
      </c>
      <c r="P769" s="89">
        <v>0</v>
      </c>
      <c r="Q769" s="89">
        <v>0</v>
      </c>
      <c r="R769" s="89">
        <v>71425.325599332806</v>
      </c>
      <c r="S769" s="89">
        <v>3.3577122240000001</v>
      </c>
      <c r="T769"/>
      <c r="U769" t="s">
        <v>155</v>
      </c>
      <c r="V769" t="s">
        <v>129</v>
      </c>
      <c r="W769" t="s">
        <v>509</v>
      </c>
      <c r="Y769" t="s">
        <v>220</v>
      </c>
      <c r="Z769" t="s">
        <v>131</v>
      </c>
      <c r="AA769" s="90">
        <v>92697</v>
      </c>
      <c r="AB769" t="s">
        <v>335</v>
      </c>
      <c r="AC769" t="s">
        <v>0</v>
      </c>
      <c r="AD769" t="s">
        <v>143</v>
      </c>
    </row>
    <row r="770" spans="2:30" x14ac:dyDescent="0.25">
      <c r="B770">
        <v>100997</v>
      </c>
      <c r="C770" t="s">
        <v>1430</v>
      </c>
      <c r="D770">
        <v>2016</v>
      </c>
      <c r="F770" s="89">
        <v>232970.43401906101</v>
      </c>
      <c r="G770" s="89" t="s">
        <v>128</v>
      </c>
      <c r="H770" s="89"/>
      <c r="I770" s="89">
        <v>222741.734019061</v>
      </c>
      <c r="J770" s="89">
        <v>10228.700000000001</v>
      </c>
      <c r="K770" s="89">
        <v>0</v>
      </c>
      <c r="L770" s="89">
        <v>0</v>
      </c>
      <c r="M770" s="89">
        <v>0</v>
      </c>
      <c r="N770" s="89"/>
      <c r="O770" s="89">
        <v>222675.936609211</v>
      </c>
      <c r="P770" s="89">
        <v>0</v>
      </c>
      <c r="Q770" s="89">
        <v>0</v>
      </c>
      <c r="R770" s="89">
        <v>222675.936609211</v>
      </c>
      <c r="S770" s="89">
        <v>10294.497409850001</v>
      </c>
      <c r="T770"/>
      <c r="U770" t="s">
        <v>155</v>
      </c>
      <c r="V770" t="s">
        <v>129</v>
      </c>
      <c r="W770" t="s">
        <v>337</v>
      </c>
      <c r="Y770" t="s">
        <v>320</v>
      </c>
      <c r="Z770" t="s">
        <v>131</v>
      </c>
      <c r="AA770" s="90">
        <v>90095</v>
      </c>
      <c r="AB770" t="s">
        <v>335</v>
      </c>
      <c r="AC770" t="s">
        <v>0</v>
      </c>
      <c r="AD770" t="s">
        <v>143</v>
      </c>
    </row>
    <row r="771" spans="2:30" x14ac:dyDescent="0.25">
      <c r="B771">
        <v>104173</v>
      </c>
      <c r="C771" t="s">
        <v>1431</v>
      </c>
      <c r="D771">
        <v>2016</v>
      </c>
      <c r="F771" s="89">
        <v>22353.523052799999</v>
      </c>
      <c r="G771" s="89" t="s">
        <v>128</v>
      </c>
      <c r="H771" s="89"/>
      <c r="I771" s="89">
        <v>22353.523052799999</v>
      </c>
      <c r="J771" s="89">
        <v>0</v>
      </c>
      <c r="K771" s="89">
        <v>0</v>
      </c>
      <c r="L771" s="89">
        <v>0</v>
      </c>
      <c r="M771" s="89">
        <v>0</v>
      </c>
      <c r="N771" s="89"/>
      <c r="O771" s="89">
        <v>0</v>
      </c>
      <c r="P771" s="89">
        <v>0</v>
      </c>
      <c r="Q771" s="89">
        <v>0</v>
      </c>
      <c r="R771" s="89">
        <v>0</v>
      </c>
      <c r="S771" s="89">
        <v>22353.523052799999</v>
      </c>
      <c r="T771"/>
      <c r="U771" t="s">
        <v>129</v>
      </c>
      <c r="V771" t="s">
        <v>129</v>
      </c>
      <c r="Y771" t="s">
        <v>553</v>
      </c>
      <c r="Z771" t="s">
        <v>131</v>
      </c>
      <c r="AA771" s="90">
        <v>92521</v>
      </c>
      <c r="AB771" t="s">
        <v>335</v>
      </c>
      <c r="AC771" t="s">
        <v>0</v>
      </c>
      <c r="AD771" t="s">
        <v>143</v>
      </c>
    </row>
    <row r="772" spans="2:30" x14ac:dyDescent="0.25">
      <c r="B772">
        <v>101305</v>
      </c>
      <c r="C772" t="s">
        <v>1432</v>
      </c>
      <c r="D772">
        <v>2016</v>
      </c>
      <c r="F772" s="89">
        <v>154666.8963696</v>
      </c>
      <c r="G772" s="89" t="s">
        <v>128</v>
      </c>
      <c r="H772" s="89"/>
      <c r="I772" s="89">
        <v>154666.8963696</v>
      </c>
      <c r="J772" s="89">
        <v>0</v>
      </c>
      <c r="K772" s="89">
        <v>0</v>
      </c>
      <c r="L772" s="89">
        <v>0</v>
      </c>
      <c r="M772" s="89">
        <v>0</v>
      </c>
      <c r="N772" s="89"/>
      <c r="O772" s="89">
        <v>154666.8963696</v>
      </c>
      <c r="P772" s="89">
        <v>0</v>
      </c>
      <c r="Q772" s="89">
        <v>0</v>
      </c>
      <c r="R772" s="89">
        <v>154666.8963696</v>
      </c>
      <c r="S772" s="89">
        <v>0</v>
      </c>
      <c r="T772"/>
      <c r="U772" t="s">
        <v>155</v>
      </c>
      <c r="V772" t="s">
        <v>129</v>
      </c>
      <c r="W772" t="s">
        <v>509</v>
      </c>
      <c r="Y772" t="s">
        <v>1433</v>
      </c>
      <c r="Z772" t="s">
        <v>131</v>
      </c>
      <c r="AA772" s="90">
        <v>92093</v>
      </c>
      <c r="AB772" t="s">
        <v>335</v>
      </c>
      <c r="AC772" t="s">
        <v>0</v>
      </c>
      <c r="AD772" t="s">
        <v>143</v>
      </c>
    </row>
    <row r="773" spans="2:30" x14ac:dyDescent="0.25">
      <c r="B773">
        <v>101416</v>
      </c>
      <c r="C773" t="s">
        <v>1434</v>
      </c>
      <c r="D773">
        <v>2016</v>
      </c>
      <c r="F773" s="89">
        <v>56254.492908406603</v>
      </c>
      <c r="G773" s="89" t="s">
        <v>128</v>
      </c>
      <c r="H773" s="89"/>
      <c r="I773" s="89">
        <v>56254.492908406603</v>
      </c>
      <c r="J773" s="89">
        <v>0</v>
      </c>
      <c r="K773" s="89">
        <v>0</v>
      </c>
      <c r="L773" s="89">
        <v>0</v>
      </c>
      <c r="M773" s="89">
        <v>0</v>
      </c>
      <c r="N773" s="89"/>
      <c r="O773" s="89">
        <v>56169.330066334602</v>
      </c>
      <c r="P773" s="89">
        <v>0</v>
      </c>
      <c r="Q773" s="89">
        <v>0</v>
      </c>
      <c r="R773" s="89">
        <v>56169.330066334602</v>
      </c>
      <c r="S773" s="89">
        <v>85.162842072000004</v>
      </c>
      <c r="T773"/>
      <c r="U773" t="s">
        <v>155</v>
      </c>
      <c r="V773" t="s">
        <v>129</v>
      </c>
      <c r="W773" t="s">
        <v>509</v>
      </c>
      <c r="Y773" t="s">
        <v>573</v>
      </c>
      <c r="Z773" t="s">
        <v>131</v>
      </c>
      <c r="AA773" s="90">
        <v>94143</v>
      </c>
      <c r="AB773" t="s">
        <v>335</v>
      </c>
      <c r="AC773" t="s">
        <v>0</v>
      </c>
      <c r="AD773" t="s">
        <v>143</v>
      </c>
    </row>
    <row r="774" spans="2:30" x14ac:dyDescent="0.25">
      <c r="B774">
        <v>104372</v>
      </c>
      <c r="C774" t="s">
        <v>1435</v>
      </c>
      <c r="D774">
        <v>2016</v>
      </c>
      <c r="F774" s="89">
        <v>17377.833741598999</v>
      </c>
      <c r="G774" s="89" t="s">
        <v>128</v>
      </c>
      <c r="H774" s="89"/>
      <c r="I774" s="89">
        <v>17377.833741598999</v>
      </c>
      <c r="J774" s="89">
        <v>0</v>
      </c>
      <c r="K774" s="89">
        <v>0</v>
      </c>
      <c r="L774" s="89">
        <v>0</v>
      </c>
      <c r="M774" s="89">
        <v>0</v>
      </c>
      <c r="N774" s="89"/>
      <c r="O774" s="89">
        <v>17373.518123330301</v>
      </c>
      <c r="P774" s="89">
        <v>0</v>
      </c>
      <c r="Q774" s="89">
        <v>0</v>
      </c>
      <c r="R774" s="89">
        <v>17373.518123330301</v>
      </c>
      <c r="S774" s="89">
        <v>4.3156182686999998</v>
      </c>
      <c r="T774"/>
      <c r="U774" t="s">
        <v>155</v>
      </c>
      <c r="V774" t="s">
        <v>129</v>
      </c>
      <c r="W774" t="s">
        <v>509</v>
      </c>
      <c r="Y774" t="s">
        <v>1242</v>
      </c>
      <c r="Z774" t="s">
        <v>131</v>
      </c>
      <c r="AA774" s="90">
        <v>93106</v>
      </c>
      <c r="AB774" t="s">
        <v>335</v>
      </c>
      <c r="AC774" t="s">
        <v>0</v>
      </c>
      <c r="AD774" t="s">
        <v>143</v>
      </c>
    </row>
    <row r="775" spans="2:30" x14ac:dyDescent="0.25">
      <c r="B775">
        <v>100273</v>
      </c>
      <c r="C775" t="s">
        <v>1436</v>
      </c>
      <c r="D775">
        <v>2016</v>
      </c>
      <c r="F775" s="89">
        <v>27519.2934012306</v>
      </c>
      <c r="G775" s="89" t="s">
        <v>128</v>
      </c>
      <c r="H775" s="89"/>
      <c r="I775" s="89">
        <v>27519.2934012306</v>
      </c>
      <c r="J775" s="89">
        <v>0</v>
      </c>
      <c r="K775" s="89">
        <v>0</v>
      </c>
      <c r="L775" s="89">
        <v>0</v>
      </c>
      <c r="M775" s="89">
        <v>0</v>
      </c>
      <c r="N775" s="89"/>
      <c r="O775" s="89">
        <v>27510.210860800002</v>
      </c>
      <c r="P775" s="89">
        <v>0</v>
      </c>
      <c r="Q775" s="89">
        <v>0</v>
      </c>
      <c r="R775" s="89">
        <v>27510.210860800002</v>
      </c>
      <c r="S775" s="89">
        <v>9.0825404305999999</v>
      </c>
      <c r="T775"/>
      <c r="U775" t="s">
        <v>155</v>
      </c>
      <c r="V775" t="s">
        <v>129</v>
      </c>
      <c r="W775" t="s">
        <v>337</v>
      </c>
      <c r="Y775" t="s">
        <v>1245</v>
      </c>
      <c r="Z775" t="s">
        <v>131</v>
      </c>
      <c r="AA775" s="90">
        <v>95064</v>
      </c>
      <c r="AB775" t="s">
        <v>335</v>
      </c>
      <c r="AC775" t="s">
        <v>0</v>
      </c>
      <c r="AD775" t="s">
        <v>143</v>
      </c>
    </row>
    <row r="776" spans="2:30" x14ac:dyDescent="0.25">
      <c r="B776">
        <v>104361</v>
      </c>
      <c r="C776" t="s">
        <v>1437</v>
      </c>
      <c r="D776">
        <v>2016</v>
      </c>
      <c r="F776" s="89">
        <v>16975.901816000001</v>
      </c>
      <c r="G776" s="89" t="s">
        <v>128</v>
      </c>
      <c r="H776" s="89"/>
      <c r="I776" s="89">
        <v>16975.901816000001</v>
      </c>
      <c r="J776" s="89">
        <v>0</v>
      </c>
      <c r="K776" s="89">
        <v>0</v>
      </c>
      <c r="L776" s="89">
        <v>0</v>
      </c>
      <c r="M776" s="89">
        <v>0</v>
      </c>
      <c r="N776" s="89"/>
      <c r="O776" s="89">
        <v>0</v>
      </c>
      <c r="P776" s="89">
        <v>0</v>
      </c>
      <c r="Q776" s="89">
        <v>0</v>
      </c>
      <c r="R776" s="89">
        <v>0</v>
      </c>
      <c r="S776" s="89">
        <v>16975.901816000001</v>
      </c>
      <c r="T776"/>
      <c r="U776" t="s">
        <v>129</v>
      </c>
      <c r="V776" t="s">
        <v>129</v>
      </c>
      <c r="Y776" t="s">
        <v>320</v>
      </c>
      <c r="Z776" t="s">
        <v>131</v>
      </c>
      <c r="AA776" s="90">
        <v>90089</v>
      </c>
      <c r="AB776" t="s">
        <v>335</v>
      </c>
      <c r="AC776" t="s">
        <v>0</v>
      </c>
      <c r="AD776" t="s">
        <v>143</v>
      </c>
    </row>
    <row r="777" spans="2:30" x14ac:dyDescent="0.25">
      <c r="B777">
        <v>101068</v>
      </c>
      <c r="C777" t="s">
        <v>1438</v>
      </c>
      <c r="D777">
        <v>2016</v>
      </c>
      <c r="F777" s="89">
        <v>44869.042998199802</v>
      </c>
      <c r="G777" s="89" t="s">
        <v>128</v>
      </c>
      <c r="H777" s="89"/>
      <c r="I777" s="89">
        <v>44869.042998199802</v>
      </c>
      <c r="J777" s="89">
        <v>0</v>
      </c>
      <c r="K777" s="89">
        <v>0</v>
      </c>
      <c r="L777" s="89">
        <v>0</v>
      </c>
      <c r="M777" s="89">
        <v>0</v>
      </c>
      <c r="N777" s="89"/>
      <c r="O777" s="89">
        <v>44867.575663085103</v>
      </c>
      <c r="P777" s="89">
        <v>0</v>
      </c>
      <c r="Q777" s="89">
        <v>0</v>
      </c>
      <c r="R777" s="89">
        <v>44867.575663085103</v>
      </c>
      <c r="S777" s="89">
        <v>1.4673351147</v>
      </c>
      <c r="T777"/>
      <c r="U777" t="s">
        <v>155</v>
      </c>
      <c r="V777" t="s">
        <v>155</v>
      </c>
      <c r="W777" t="s">
        <v>156</v>
      </c>
      <c r="Y777" t="s">
        <v>247</v>
      </c>
      <c r="Z777" t="s">
        <v>131</v>
      </c>
      <c r="AA777" s="90">
        <v>94565</v>
      </c>
      <c r="AB777" t="s">
        <v>441</v>
      </c>
      <c r="AC777" t="s">
        <v>0</v>
      </c>
      <c r="AD777" t="s">
        <v>143</v>
      </c>
    </row>
    <row r="778" spans="2:30" x14ac:dyDescent="0.25">
      <c r="B778">
        <v>104617</v>
      </c>
      <c r="C778" t="s">
        <v>1439</v>
      </c>
      <c r="D778">
        <v>2016</v>
      </c>
      <c r="F778" s="89">
        <v>12628.057824</v>
      </c>
      <c r="G778" s="89" t="s">
        <v>128</v>
      </c>
      <c r="H778" s="89"/>
      <c r="I778" s="89">
        <v>12628.057824</v>
      </c>
      <c r="J778" s="89">
        <v>0</v>
      </c>
      <c r="K778" s="89">
        <v>0</v>
      </c>
      <c r="L778" s="89">
        <v>0</v>
      </c>
      <c r="M778" s="89">
        <v>0</v>
      </c>
      <c r="N778" s="89"/>
      <c r="O778" s="89">
        <v>0</v>
      </c>
      <c r="P778" s="89">
        <v>0</v>
      </c>
      <c r="Q778" s="89">
        <v>0</v>
      </c>
      <c r="R778" s="89">
        <v>0</v>
      </c>
      <c r="S778" s="89">
        <v>12628.057824</v>
      </c>
      <c r="T778"/>
      <c r="U778" t="s">
        <v>129</v>
      </c>
      <c r="V778" t="s">
        <v>129</v>
      </c>
      <c r="Y778" t="s">
        <v>320</v>
      </c>
      <c r="Z778" t="s">
        <v>131</v>
      </c>
      <c r="AA778" s="90">
        <v>90073</v>
      </c>
      <c r="AB778" t="s">
        <v>1440</v>
      </c>
      <c r="AC778" t="s">
        <v>0</v>
      </c>
      <c r="AD778" t="s">
        <v>143</v>
      </c>
    </row>
    <row r="779" spans="2:30" x14ac:dyDescent="0.25">
      <c r="B779">
        <v>104661</v>
      </c>
      <c r="C779" t="s">
        <v>1441</v>
      </c>
      <c r="D779">
        <v>2016</v>
      </c>
      <c r="F779" s="89">
        <v>15976.068218176</v>
      </c>
      <c r="G779" s="89" t="s">
        <v>128</v>
      </c>
      <c r="H779" s="89"/>
      <c r="I779" s="89">
        <v>15976.068218176</v>
      </c>
      <c r="J779" s="89">
        <v>0</v>
      </c>
      <c r="K779" s="89">
        <v>0</v>
      </c>
      <c r="L779" s="89">
        <v>0</v>
      </c>
      <c r="M779" s="89">
        <v>0</v>
      </c>
      <c r="N779" s="89"/>
      <c r="O779" s="89">
        <v>0</v>
      </c>
      <c r="P779" s="89">
        <v>0</v>
      </c>
      <c r="Q779" s="89">
        <v>0</v>
      </c>
      <c r="R779" s="89">
        <v>0</v>
      </c>
      <c r="S779" s="89">
        <v>15976.068218176</v>
      </c>
      <c r="T779"/>
      <c r="U779" t="s">
        <v>129</v>
      </c>
      <c r="V779" t="s">
        <v>129</v>
      </c>
      <c r="Y779" t="s">
        <v>283</v>
      </c>
      <c r="Z779" t="s">
        <v>131</v>
      </c>
      <c r="AA779" s="90">
        <v>92161</v>
      </c>
      <c r="AB779" t="s">
        <v>1442</v>
      </c>
      <c r="AC779" t="s">
        <v>0</v>
      </c>
      <c r="AD779" t="s">
        <v>143</v>
      </c>
    </row>
    <row r="780" spans="2:30" x14ac:dyDescent="0.25">
      <c r="B780">
        <v>104071</v>
      </c>
      <c r="C780" t="s">
        <v>1443</v>
      </c>
      <c r="D780">
        <v>2016</v>
      </c>
      <c r="F780" s="89">
        <v>18306927.8437341</v>
      </c>
      <c r="G780" s="89" t="s">
        <v>128</v>
      </c>
      <c r="H780" s="89"/>
      <c r="I780" s="89">
        <v>0</v>
      </c>
      <c r="J780" s="89">
        <v>0</v>
      </c>
      <c r="K780" s="89">
        <v>17115254.681434099</v>
      </c>
      <c r="L780" s="89">
        <v>1191673.16229999</v>
      </c>
      <c r="M780" s="89">
        <v>0</v>
      </c>
      <c r="N780" s="89"/>
      <c r="O780" s="89">
        <v>0</v>
      </c>
      <c r="P780" s="89">
        <v>17115254.681434099</v>
      </c>
      <c r="Q780" s="89">
        <v>0</v>
      </c>
      <c r="R780" s="89">
        <v>17115254.681434099</v>
      </c>
      <c r="S780" s="89">
        <v>1191673.16229999</v>
      </c>
      <c r="T780"/>
      <c r="U780" t="s">
        <v>155</v>
      </c>
      <c r="V780" t="s">
        <v>129</v>
      </c>
      <c r="W780" t="s">
        <v>645</v>
      </c>
      <c r="Y780" t="s">
        <v>1444</v>
      </c>
      <c r="Z780" t="s">
        <v>360</v>
      </c>
      <c r="AA780" s="90">
        <v>78249</v>
      </c>
      <c r="AB780" t="s">
        <v>146</v>
      </c>
      <c r="AC780" t="s">
        <v>147</v>
      </c>
      <c r="AD780" t="s">
        <v>148</v>
      </c>
    </row>
    <row r="781" spans="2:30" x14ac:dyDescent="0.25">
      <c r="B781">
        <v>100372</v>
      </c>
      <c r="C781" t="s">
        <v>1445</v>
      </c>
      <c r="D781">
        <v>2016</v>
      </c>
      <c r="F781" s="89">
        <v>2786747.9586547199</v>
      </c>
      <c r="G781" s="89" t="s">
        <v>128</v>
      </c>
      <c r="H781" s="89"/>
      <c r="I781" s="89">
        <v>2786747.9586547199</v>
      </c>
      <c r="J781" s="89">
        <v>0</v>
      </c>
      <c r="K781" s="89">
        <v>0</v>
      </c>
      <c r="L781" s="89">
        <v>0</v>
      </c>
      <c r="M781" s="89">
        <v>0</v>
      </c>
      <c r="N781" s="89"/>
      <c r="O781" s="89">
        <v>2785959.8204547199</v>
      </c>
      <c r="P781" s="89">
        <v>0</v>
      </c>
      <c r="Q781" s="89">
        <v>0</v>
      </c>
      <c r="R781" s="89">
        <v>2785959.8204547199</v>
      </c>
      <c r="S781" s="89">
        <v>788.13819999999998</v>
      </c>
      <c r="T781"/>
      <c r="U781" t="s">
        <v>155</v>
      </c>
      <c r="V781" t="s">
        <v>155</v>
      </c>
      <c r="W781" t="s">
        <v>645</v>
      </c>
      <c r="Y781" t="s">
        <v>1446</v>
      </c>
      <c r="Z781" t="s">
        <v>131</v>
      </c>
      <c r="AA781" s="90">
        <v>94510</v>
      </c>
      <c r="AB781" t="s">
        <v>229</v>
      </c>
      <c r="AC781" t="s">
        <v>518</v>
      </c>
      <c r="AD781" t="s">
        <v>519</v>
      </c>
    </row>
    <row r="782" spans="2:30" x14ac:dyDescent="0.25">
      <c r="B782">
        <v>104444</v>
      </c>
      <c r="C782" t="s">
        <v>1447</v>
      </c>
      <c r="D782">
        <v>2016</v>
      </c>
      <c r="F782" s="89">
        <v>12387.2236912726</v>
      </c>
      <c r="G782" s="89" t="s">
        <v>128</v>
      </c>
      <c r="H782" s="89"/>
      <c r="I782" s="89">
        <v>12387.2236912726</v>
      </c>
      <c r="J782" s="89">
        <v>0</v>
      </c>
      <c r="K782" s="89">
        <v>0</v>
      </c>
      <c r="L782" s="89">
        <v>0</v>
      </c>
      <c r="M782" s="89">
        <v>0</v>
      </c>
      <c r="N782" s="89"/>
      <c r="O782" s="89">
        <v>0</v>
      </c>
      <c r="P782" s="89">
        <v>0</v>
      </c>
      <c r="Q782" s="89">
        <v>0</v>
      </c>
      <c r="R782" s="89">
        <v>0</v>
      </c>
      <c r="S782" s="89">
        <v>12387.2236912726</v>
      </c>
      <c r="T782"/>
      <c r="U782" t="s">
        <v>129</v>
      </c>
      <c r="V782" t="s">
        <v>129</v>
      </c>
      <c r="Y782" t="s">
        <v>211</v>
      </c>
      <c r="Z782" t="s">
        <v>131</v>
      </c>
      <c r="AA782" s="90">
        <v>90744</v>
      </c>
      <c r="AB782" t="s">
        <v>229</v>
      </c>
      <c r="AC782" t="s">
        <v>742</v>
      </c>
      <c r="AD782" t="s">
        <v>230</v>
      </c>
    </row>
    <row r="783" spans="2:30" x14ac:dyDescent="0.25">
      <c r="B783">
        <v>104510</v>
      </c>
      <c r="C783" t="s">
        <v>1448</v>
      </c>
      <c r="D783">
        <v>2016</v>
      </c>
      <c r="F783" s="89">
        <v>9313.1606735999994</v>
      </c>
      <c r="G783" s="89" t="s">
        <v>128</v>
      </c>
      <c r="H783" s="89"/>
      <c r="I783" s="89">
        <v>0</v>
      </c>
      <c r="J783" s="89">
        <v>0</v>
      </c>
      <c r="K783" s="89">
        <v>0</v>
      </c>
      <c r="L783" s="89">
        <v>0</v>
      </c>
      <c r="M783" s="89">
        <v>9313.1606735999994</v>
      </c>
      <c r="N783" s="89"/>
      <c r="O783" s="89">
        <v>0</v>
      </c>
      <c r="P783" s="89">
        <v>0</v>
      </c>
      <c r="Q783" s="89">
        <v>9313.1606735999994</v>
      </c>
      <c r="R783" s="89">
        <v>9313.1606735999994</v>
      </c>
      <c r="S783" s="89">
        <v>0</v>
      </c>
      <c r="T783"/>
      <c r="U783" t="s">
        <v>155</v>
      </c>
      <c r="V783" t="s">
        <v>129</v>
      </c>
      <c r="W783" t="s">
        <v>156</v>
      </c>
      <c r="Y783" t="s">
        <v>1449</v>
      </c>
      <c r="Z783" t="s">
        <v>1008</v>
      </c>
      <c r="AA783" s="90">
        <v>89048</v>
      </c>
      <c r="AB783" t="s">
        <v>158</v>
      </c>
      <c r="AC783" t="s">
        <v>136</v>
      </c>
      <c r="AD783" t="s">
        <v>137</v>
      </c>
    </row>
    <row r="784" spans="2:30" x14ac:dyDescent="0.25">
      <c r="B784">
        <v>104205</v>
      </c>
      <c r="C784" t="s">
        <v>1450</v>
      </c>
      <c r="D784">
        <v>2016</v>
      </c>
      <c r="F784" s="89">
        <v>15665.979154176001</v>
      </c>
      <c r="G784" s="89" t="s">
        <v>128</v>
      </c>
      <c r="H784" s="89"/>
      <c r="I784" s="89">
        <v>15665.979154176001</v>
      </c>
      <c r="J784" s="89">
        <v>0</v>
      </c>
      <c r="K784" s="89">
        <v>0</v>
      </c>
      <c r="L784" s="89">
        <v>0</v>
      </c>
      <c r="M784" s="89">
        <v>0</v>
      </c>
      <c r="N784" s="89"/>
      <c r="O784" s="89">
        <v>0</v>
      </c>
      <c r="P784" s="89">
        <v>0</v>
      </c>
      <c r="Q784" s="89">
        <v>0</v>
      </c>
      <c r="R784" s="89">
        <v>0</v>
      </c>
      <c r="S784" s="89">
        <v>15665.979154176001</v>
      </c>
      <c r="T784"/>
      <c r="U784" t="s">
        <v>129</v>
      </c>
      <c r="V784" t="s">
        <v>129</v>
      </c>
      <c r="Y784" t="s">
        <v>1451</v>
      </c>
      <c r="Z784" t="s">
        <v>131</v>
      </c>
      <c r="AA784" s="90">
        <v>93437</v>
      </c>
      <c r="AB784" t="s">
        <v>675</v>
      </c>
      <c r="AC784" t="s">
        <v>0</v>
      </c>
      <c r="AD784" t="s">
        <v>143</v>
      </c>
    </row>
    <row r="785" spans="2:30" x14ac:dyDescent="0.25">
      <c r="B785">
        <v>104783</v>
      </c>
      <c r="C785" t="s">
        <v>1529</v>
      </c>
      <c r="D785">
        <v>2016</v>
      </c>
      <c r="F785" s="89">
        <v>13371.902558908399</v>
      </c>
      <c r="G785" s="89" t="s">
        <v>128</v>
      </c>
      <c r="H785" s="89"/>
      <c r="I785" s="89">
        <v>13371.902558908399</v>
      </c>
      <c r="J785" s="89">
        <v>0</v>
      </c>
      <c r="K785" s="89">
        <v>0</v>
      </c>
      <c r="L785" s="89">
        <v>0</v>
      </c>
      <c r="M785" s="89">
        <v>0</v>
      </c>
      <c r="N785" s="89"/>
      <c r="O785" s="89">
        <v>0</v>
      </c>
      <c r="P785" s="89">
        <v>0</v>
      </c>
      <c r="Q785" s="89">
        <v>0</v>
      </c>
      <c r="R785" s="89">
        <v>0</v>
      </c>
      <c r="S785" s="89">
        <v>13371.902558908399</v>
      </c>
      <c r="T785"/>
      <c r="U785" t="s">
        <v>129</v>
      </c>
      <c r="V785" t="s">
        <v>129</v>
      </c>
      <c r="Y785" t="s">
        <v>688</v>
      </c>
      <c r="Z785" t="s">
        <v>131</v>
      </c>
      <c r="AA785" s="90">
        <v>93454</v>
      </c>
      <c r="AB785" t="s">
        <v>170</v>
      </c>
      <c r="AC785" t="s">
        <v>175</v>
      </c>
      <c r="AD785" t="s">
        <v>176</v>
      </c>
    </row>
    <row r="786" spans="2:30" x14ac:dyDescent="0.25">
      <c r="B786">
        <v>104413</v>
      </c>
      <c r="C786" t="s">
        <v>1452</v>
      </c>
      <c r="D786">
        <v>2016</v>
      </c>
      <c r="F786" s="89">
        <v>2199.1185197633099</v>
      </c>
      <c r="G786" s="89" t="s">
        <v>128</v>
      </c>
      <c r="H786" s="89"/>
      <c r="I786" s="89">
        <v>2199.1185197633099</v>
      </c>
      <c r="J786" s="89">
        <v>0</v>
      </c>
      <c r="K786" s="89">
        <v>0</v>
      </c>
      <c r="L786" s="89">
        <v>0</v>
      </c>
      <c r="M786" s="89">
        <v>0</v>
      </c>
      <c r="N786" s="89"/>
      <c r="O786" s="89">
        <v>0</v>
      </c>
      <c r="P786" s="89">
        <v>0</v>
      </c>
      <c r="Q786" s="89">
        <v>0</v>
      </c>
      <c r="R786" s="89">
        <v>0</v>
      </c>
      <c r="S786" s="89">
        <v>2199.1185197633099</v>
      </c>
      <c r="T786"/>
      <c r="U786" t="s">
        <v>129</v>
      </c>
      <c r="V786" t="s">
        <v>129</v>
      </c>
      <c r="Y786" t="s">
        <v>698</v>
      </c>
      <c r="Z786" t="s">
        <v>131</v>
      </c>
      <c r="AA786" s="90">
        <v>93117</v>
      </c>
      <c r="AB786" t="s">
        <v>170</v>
      </c>
      <c r="AC786" t="s">
        <v>0</v>
      </c>
      <c r="AD786" t="s">
        <v>176</v>
      </c>
    </row>
    <row r="787" spans="2:30" x14ac:dyDescent="0.25">
      <c r="B787">
        <v>104643</v>
      </c>
      <c r="C787" t="s">
        <v>1453</v>
      </c>
      <c r="D787">
        <v>2016</v>
      </c>
      <c r="F787" s="89">
        <v>8768.0675776000007</v>
      </c>
      <c r="G787" s="89" t="s">
        <v>128</v>
      </c>
      <c r="H787" s="89"/>
      <c r="I787" s="89">
        <v>8768.0675776000007</v>
      </c>
      <c r="J787" s="89">
        <v>0</v>
      </c>
      <c r="K787" s="89">
        <v>0</v>
      </c>
      <c r="L787" s="89">
        <v>0</v>
      </c>
      <c r="M787" s="89">
        <v>0</v>
      </c>
      <c r="N787" s="89"/>
      <c r="O787" s="89">
        <v>0</v>
      </c>
      <c r="P787" s="89">
        <v>0</v>
      </c>
      <c r="Q787" s="89">
        <v>0</v>
      </c>
      <c r="R787" s="89">
        <v>0</v>
      </c>
      <c r="S787" s="89">
        <v>8768.0675776000007</v>
      </c>
      <c r="T787"/>
      <c r="U787" t="s">
        <v>129</v>
      </c>
      <c r="V787" t="s">
        <v>129</v>
      </c>
      <c r="Y787" t="s">
        <v>403</v>
      </c>
      <c r="Z787" t="s">
        <v>131</v>
      </c>
      <c r="AA787" s="90">
        <v>93291</v>
      </c>
      <c r="AB787" t="s">
        <v>1454</v>
      </c>
      <c r="AC787" t="s">
        <v>0</v>
      </c>
      <c r="AD787" t="s">
        <v>143</v>
      </c>
    </row>
    <row r="788" spans="2:30" x14ac:dyDescent="0.25">
      <c r="B788">
        <v>3067</v>
      </c>
      <c r="C788" t="s">
        <v>1455</v>
      </c>
      <c r="D788">
        <v>2016</v>
      </c>
      <c r="F788" s="89">
        <v>0</v>
      </c>
      <c r="G788" s="89" t="s">
        <v>128</v>
      </c>
      <c r="H788" s="89"/>
      <c r="I788" s="89">
        <v>0</v>
      </c>
      <c r="J788" s="89">
        <v>0</v>
      </c>
      <c r="K788" s="89">
        <v>0</v>
      </c>
      <c r="L788" s="89">
        <v>0</v>
      </c>
      <c r="M788" s="89">
        <v>0</v>
      </c>
      <c r="N788" s="89"/>
      <c r="O788" s="89">
        <v>0</v>
      </c>
      <c r="P788" s="89">
        <v>0</v>
      </c>
      <c r="Q788" s="89">
        <v>0</v>
      </c>
      <c r="R788" s="89">
        <v>0</v>
      </c>
      <c r="S788" s="89">
        <v>0</v>
      </c>
      <c r="T788"/>
      <c r="U788" t="s">
        <v>129</v>
      </c>
      <c r="V788" t="s">
        <v>129</v>
      </c>
      <c r="Y788" t="s">
        <v>763</v>
      </c>
      <c r="Z788" t="s">
        <v>131</v>
      </c>
      <c r="AA788" s="90">
        <v>92393</v>
      </c>
      <c r="AB788" t="s">
        <v>158</v>
      </c>
      <c r="AC788" t="s">
        <v>136</v>
      </c>
      <c r="AD788" t="s">
        <v>137</v>
      </c>
    </row>
    <row r="789" spans="2:30" x14ac:dyDescent="0.25">
      <c r="B789">
        <v>104571</v>
      </c>
      <c r="C789" t="s">
        <v>1456</v>
      </c>
      <c r="D789">
        <v>2016</v>
      </c>
      <c r="F789" s="89">
        <v>12781.4942832</v>
      </c>
      <c r="G789" s="89" t="s">
        <v>128</v>
      </c>
      <c r="H789" s="89"/>
      <c r="I789" s="89">
        <v>0</v>
      </c>
      <c r="J789" s="89">
        <v>0</v>
      </c>
      <c r="K789" s="89">
        <v>12781.4942832</v>
      </c>
      <c r="L789" s="89">
        <v>0</v>
      </c>
      <c r="M789" s="89">
        <v>0</v>
      </c>
      <c r="N789" s="89"/>
      <c r="O789" s="89">
        <v>0</v>
      </c>
      <c r="P789" s="89">
        <v>0</v>
      </c>
      <c r="Q789" s="89">
        <v>0</v>
      </c>
      <c r="R789" s="89">
        <v>0</v>
      </c>
      <c r="S789" s="89">
        <v>12781.4942832</v>
      </c>
      <c r="T789"/>
      <c r="U789" t="s">
        <v>129</v>
      </c>
      <c r="V789" t="s">
        <v>129</v>
      </c>
      <c r="Y789" t="s">
        <v>763</v>
      </c>
      <c r="Z789" t="s">
        <v>131</v>
      </c>
      <c r="AA789" s="90">
        <v>92392</v>
      </c>
      <c r="AB789" t="s">
        <v>550</v>
      </c>
      <c r="AC789" t="s">
        <v>259</v>
      </c>
      <c r="AD789" t="s">
        <v>260</v>
      </c>
    </row>
    <row r="790" spans="2:30" x14ac:dyDescent="0.25">
      <c r="B790">
        <v>100953</v>
      </c>
      <c r="C790" t="s">
        <v>1457</v>
      </c>
      <c r="D790">
        <v>2016</v>
      </c>
      <c r="F790" s="89">
        <v>32164.239438505101</v>
      </c>
      <c r="G790" s="89" t="s">
        <v>128</v>
      </c>
      <c r="H790" s="89"/>
      <c r="I790" s="89">
        <v>32164.239438505101</v>
      </c>
      <c r="J790" s="89">
        <v>0</v>
      </c>
      <c r="K790" s="89">
        <v>0</v>
      </c>
      <c r="L790" s="89">
        <v>0</v>
      </c>
      <c r="M790" s="89">
        <v>0</v>
      </c>
      <c r="N790" s="89"/>
      <c r="O790" s="89">
        <v>32164.239438505101</v>
      </c>
      <c r="P790" s="89">
        <v>0</v>
      </c>
      <c r="Q790" s="89">
        <v>0</v>
      </c>
      <c r="R790" s="89">
        <v>32164.239438505101</v>
      </c>
      <c r="S790" s="89">
        <v>0</v>
      </c>
      <c r="T790"/>
      <c r="U790" t="s">
        <v>155</v>
      </c>
      <c r="V790" t="s">
        <v>155</v>
      </c>
      <c r="W790" t="s">
        <v>222</v>
      </c>
      <c r="Y790" t="s">
        <v>440</v>
      </c>
      <c r="Z790" t="s">
        <v>131</v>
      </c>
      <c r="AA790" s="90">
        <v>92335</v>
      </c>
      <c r="AB790" t="s">
        <v>615</v>
      </c>
      <c r="AC790" t="s">
        <v>0</v>
      </c>
      <c r="AD790" t="s">
        <v>143</v>
      </c>
    </row>
    <row r="791" spans="2:30" x14ac:dyDescent="0.25">
      <c r="B791">
        <v>5014</v>
      </c>
      <c r="C791" t="s">
        <v>1458</v>
      </c>
      <c r="D791">
        <v>2016</v>
      </c>
      <c r="F791" s="89">
        <v>178207.11576499901</v>
      </c>
      <c r="G791" s="89" t="s">
        <v>128</v>
      </c>
      <c r="H791" s="89"/>
      <c r="I791" s="89">
        <v>0</v>
      </c>
      <c r="J791" s="89">
        <v>0</v>
      </c>
      <c r="K791" s="89">
        <v>168265.532364999</v>
      </c>
      <c r="L791" s="89">
        <v>9941.5833999999995</v>
      </c>
      <c r="M791" s="89">
        <v>0</v>
      </c>
      <c r="N791" s="89"/>
      <c r="O791" s="89">
        <v>0</v>
      </c>
      <c r="P791" s="89">
        <v>168265.532364999</v>
      </c>
      <c r="Q791" s="89">
        <v>0</v>
      </c>
      <c r="R791" s="89">
        <v>168265.532364999</v>
      </c>
      <c r="S791" s="89">
        <v>9941.5833999999995</v>
      </c>
      <c r="T791"/>
      <c r="U791" t="s">
        <v>155</v>
      </c>
      <c r="V791" t="s">
        <v>129</v>
      </c>
      <c r="W791" t="s">
        <v>277</v>
      </c>
      <c r="Y791" t="s">
        <v>359</v>
      </c>
      <c r="Z791" t="s">
        <v>360</v>
      </c>
      <c r="AA791" s="90">
        <v>77098</v>
      </c>
      <c r="AB791" t="s">
        <v>146</v>
      </c>
      <c r="AC791" t="s">
        <v>147</v>
      </c>
      <c r="AD791" t="s">
        <v>148</v>
      </c>
    </row>
    <row r="792" spans="2:30" x14ac:dyDescent="0.25">
      <c r="B792">
        <v>104467</v>
      </c>
      <c r="C792" t="s">
        <v>1459</v>
      </c>
      <c r="D792">
        <v>2016</v>
      </c>
      <c r="F792" s="89">
        <v>697.62288000000001</v>
      </c>
      <c r="G792" s="89" t="s">
        <v>128</v>
      </c>
      <c r="H792" s="89"/>
      <c r="I792" s="89">
        <v>0</v>
      </c>
      <c r="J792" s="89">
        <v>0</v>
      </c>
      <c r="K792" s="89">
        <v>0</v>
      </c>
      <c r="L792" s="89">
        <v>0</v>
      </c>
      <c r="M792" s="89">
        <v>697.62288000000001</v>
      </c>
      <c r="N792" s="89"/>
      <c r="O792" s="89">
        <v>0</v>
      </c>
      <c r="P792" s="89">
        <v>0</v>
      </c>
      <c r="Q792" s="89">
        <v>697.62288000000001</v>
      </c>
      <c r="R792" s="89">
        <v>697.62288000000001</v>
      </c>
      <c r="S792" s="89">
        <v>0</v>
      </c>
      <c r="T792"/>
      <c r="U792" t="s">
        <v>155</v>
      </c>
      <c r="V792" t="s">
        <v>129</v>
      </c>
      <c r="W792" t="s">
        <v>277</v>
      </c>
      <c r="Y792" t="s">
        <v>359</v>
      </c>
      <c r="Z792" t="s">
        <v>360</v>
      </c>
      <c r="AA792" s="90">
        <v>77098</v>
      </c>
      <c r="AB792" t="s">
        <v>158</v>
      </c>
      <c r="AC792" t="s">
        <v>136</v>
      </c>
      <c r="AD792" t="s">
        <v>137</v>
      </c>
    </row>
    <row r="793" spans="2:30" x14ac:dyDescent="0.25">
      <c r="B793">
        <v>101513</v>
      </c>
      <c r="C793" t="s">
        <v>1460</v>
      </c>
      <c r="D793">
        <v>2016</v>
      </c>
      <c r="F793" s="89">
        <v>63816.5953104</v>
      </c>
      <c r="G793" s="89" t="s">
        <v>128</v>
      </c>
      <c r="H793" s="89"/>
      <c r="I793" s="89">
        <v>63816.5953104</v>
      </c>
      <c r="J793" s="89">
        <v>0</v>
      </c>
      <c r="K793" s="89">
        <v>0</v>
      </c>
      <c r="L793" s="89">
        <v>0</v>
      </c>
      <c r="M793" s="89">
        <v>0</v>
      </c>
      <c r="N793" s="89"/>
      <c r="O793" s="89">
        <v>63816.5953104</v>
      </c>
      <c r="P793" s="89">
        <v>0</v>
      </c>
      <c r="Q793" s="89">
        <v>0</v>
      </c>
      <c r="R793" s="89">
        <v>63816.5953104</v>
      </c>
      <c r="S793" s="89">
        <v>0</v>
      </c>
      <c r="T793"/>
      <c r="U793" t="s">
        <v>155</v>
      </c>
      <c r="V793" t="s">
        <v>155</v>
      </c>
      <c r="W793" t="s">
        <v>277</v>
      </c>
      <c r="Y793" t="s">
        <v>395</v>
      </c>
      <c r="Z793" t="s">
        <v>131</v>
      </c>
      <c r="AA793" s="90">
        <v>93725</v>
      </c>
      <c r="AB793" t="s">
        <v>747</v>
      </c>
      <c r="AC793" t="s">
        <v>151</v>
      </c>
      <c r="AD793" t="s">
        <v>143</v>
      </c>
    </row>
    <row r="794" spans="2:30" x14ac:dyDescent="0.25">
      <c r="B794">
        <v>100058</v>
      </c>
      <c r="C794" t="s">
        <v>1461</v>
      </c>
      <c r="D794">
        <v>2016</v>
      </c>
      <c r="F794" s="89">
        <v>224550.28292560001</v>
      </c>
      <c r="G794" s="89" t="s">
        <v>128</v>
      </c>
      <c r="H794" s="89"/>
      <c r="I794" s="89">
        <v>3880.0829256000002</v>
      </c>
      <c r="J794" s="89">
        <v>220670.2</v>
      </c>
      <c r="K794" s="89">
        <v>0</v>
      </c>
      <c r="L794" s="89">
        <v>0</v>
      </c>
      <c r="M794" s="89">
        <v>0</v>
      </c>
      <c r="N794" s="89"/>
      <c r="O794" s="89">
        <v>0</v>
      </c>
      <c r="P794" s="89">
        <v>0</v>
      </c>
      <c r="Q794" s="89">
        <v>0</v>
      </c>
      <c r="R794" s="89">
        <v>0</v>
      </c>
      <c r="S794" s="89">
        <v>224550.28292560001</v>
      </c>
      <c r="T794"/>
      <c r="U794" t="s">
        <v>155</v>
      </c>
      <c r="V794" t="s">
        <v>129</v>
      </c>
      <c r="W794" t="s">
        <v>297</v>
      </c>
      <c r="Y794" t="s">
        <v>989</v>
      </c>
      <c r="Z794" t="s">
        <v>131</v>
      </c>
      <c r="AA794" s="90">
        <v>95987</v>
      </c>
      <c r="AB794" t="s">
        <v>139</v>
      </c>
      <c r="AC794" t="s">
        <v>0</v>
      </c>
      <c r="AD794" t="s">
        <v>140</v>
      </c>
    </row>
    <row r="795" spans="2:30" x14ac:dyDescent="0.25">
      <c r="B795">
        <v>104218</v>
      </c>
      <c r="C795" t="s">
        <v>1462</v>
      </c>
      <c r="D795">
        <v>2016</v>
      </c>
      <c r="F795" s="89">
        <v>231784.768744</v>
      </c>
      <c r="G795" s="89" t="s">
        <v>128</v>
      </c>
      <c r="H795" s="89"/>
      <c r="I795" s="89">
        <v>231784.768744</v>
      </c>
      <c r="J795" s="89">
        <v>0</v>
      </c>
      <c r="K795" s="89">
        <v>0</v>
      </c>
      <c r="L795" s="89">
        <v>0</v>
      </c>
      <c r="M795" s="89">
        <v>0</v>
      </c>
      <c r="N795" s="89"/>
      <c r="O795" s="89">
        <v>231784.768744</v>
      </c>
      <c r="P795" s="89">
        <v>0</v>
      </c>
      <c r="Q795" s="89">
        <v>0</v>
      </c>
      <c r="R795" s="89">
        <v>231784.768744</v>
      </c>
      <c r="S795" s="89">
        <v>0</v>
      </c>
      <c r="T795"/>
      <c r="U795" t="s">
        <v>155</v>
      </c>
      <c r="V795" t="s">
        <v>129</v>
      </c>
      <c r="W795" t="s">
        <v>222</v>
      </c>
      <c r="Y795" t="s">
        <v>540</v>
      </c>
      <c r="Z795" t="s">
        <v>131</v>
      </c>
      <c r="AA795" s="90">
        <v>91745</v>
      </c>
      <c r="AB795" t="s">
        <v>132</v>
      </c>
      <c r="AC795" t="s">
        <v>0</v>
      </c>
      <c r="AD795" t="s">
        <v>140</v>
      </c>
    </row>
    <row r="796" spans="2:30" x14ac:dyDescent="0.25">
      <c r="B796">
        <v>3078</v>
      </c>
      <c r="C796" t="s">
        <v>1463</v>
      </c>
      <c r="D796">
        <v>2016</v>
      </c>
      <c r="F796" s="89">
        <v>0</v>
      </c>
      <c r="G796" s="89" t="s">
        <v>128</v>
      </c>
      <c r="H796" s="89"/>
      <c r="I796" s="89">
        <v>0</v>
      </c>
      <c r="J796" s="89">
        <v>0</v>
      </c>
      <c r="K796" s="89">
        <v>0</v>
      </c>
      <c r="L796" s="89">
        <v>0</v>
      </c>
      <c r="M796" s="89">
        <v>0</v>
      </c>
      <c r="N796" s="89"/>
      <c r="O796" s="89">
        <v>0</v>
      </c>
      <c r="P796" s="89">
        <v>0</v>
      </c>
      <c r="Q796" s="89">
        <v>0</v>
      </c>
      <c r="R796" s="89">
        <v>0</v>
      </c>
      <c r="S796" s="89">
        <v>0</v>
      </c>
      <c r="T796"/>
      <c r="U796" t="s">
        <v>155</v>
      </c>
      <c r="V796" t="s">
        <v>129</v>
      </c>
      <c r="W796" t="s">
        <v>215</v>
      </c>
      <c r="Y796" t="s">
        <v>298</v>
      </c>
      <c r="Z796" t="s">
        <v>145</v>
      </c>
      <c r="AA796" s="90">
        <v>85009</v>
      </c>
      <c r="AB796" t="s">
        <v>308</v>
      </c>
      <c r="AC796" t="s">
        <v>136</v>
      </c>
      <c r="AD796" t="s">
        <v>137</v>
      </c>
    </row>
    <row r="797" spans="2:30" x14ac:dyDescent="0.25">
      <c r="B797">
        <v>3079</v>
      </c>
      <c r="C797" t="s">
        <v>1464</v>
      </c>
      <c r="D797">
        <v>2016</v>
      </c>
      <c r="F797" s="89">
        <v>831719.38336964196</v>
      </c>
      <c r="G797" s="89" t="s">
        <v>128</v>
      </c>
      <c r="H797" s="89"/>
      <c r="I797" s="89">
        <v>0</v>
      </c>
      <c r="J797" s="89">
        <v>0</v>
      </c>
      <c r="K797" s="89">
        <v>0</v>
      </c>
      <c r="L797" s="89">
        <v>0</v>
      </c>
      <c r="M797" s="89">
        <v>831719.38336964196</v>
      </c>
      <c r="N797" s="89"/>
      <c r="O797" s="89">
        <v>0</v>
      </c>
      <c r="P797" s="89">
        <v>0</v>
      </c>
      <c r="Q797" s="89">
        <v>831526.48468757805</v>
      </c>
      <c r="R797" s="89">
        <v>831526.48468757805</v>
      </c>
      <c r="S797" s="89">
        <v>192.89868206400001</v>
      </c>
      <c r="T797"/>
      <c r="U797" t="s">
        <v>155</v>
      </c>
      <c r="V797" t="s">
        <v>129</v>
      </c>
      <c r="W797" t="s">
        <v>215</v>
      </c>
      <c r="Y797" t="s">
        <v>1465</v>
      </c>
      <c r="Z797" t="s">
        <v>131</v>
      </c>
      <c r="AA797" s="90">
        <v>95630</v>
      </c>
      <c r="AB797" t="s">
        <v>308</v>
      </c>
      <c r="AC797" t="s">
        <v>136</v>
      </c>
      <c r="AD797" t="s">
        <v>137</v>
      </c>
    </row>
    <row r="798" spans="2:30" x14ac:dyDescent="0.25">
      <c r="B798">
        <v>100060</v>
      </c>
      <c r="C798" t="s">
        <v>1466</v>
      </c>
      <c r="D798">
        <v>2016</v>
      </c>
      <c r="F798" s="89">
        <v>42477.6921947273</v>
      </c>
      <c r="G798" s="89" t="s">
        <v>128</v>
      </c>
      <c r="H798" s="89"/>
      <c r="I798" s="89">
        <v>213.09219472730501</v>
      </c>
      <c r="J798" s="89">
        <v>42264.6</v>
      </c>
      <c r="K798" s="89">
        <v>0</v>
      </c>
      <c r="L798" s="89">
        <v>0</v>
      </c>
      <c r="M798" s="89">
        <v>0</v>
      </c>
      <c r="N798" s="89"/>
      <c r="O798" s="89">
        <v>0</v>
      </c>
      <c r="P798" s="89">
        <v>0</v>
      </c>
      <c r="Q798" s="89">
        <v>0</v>
      </c>
      <c r="R798" s="89">
        <v>0</v>
      </c>
      <c r="S798" s="89">
        <v>42477.6921947273</v>
      </c>
      <c r="T798"/>
      <c r="U798" t="s">
        <v>155</v>
      </c>
      <c r="V798" t="s">
        <v>129</v>
      </c>
      <c r="W798" t="s">
        <v>156</v>
      </c>
      <c r="Y798" t="s">
        <v>252</v>
      </c>
      <c r="Z798" t="s">
        <v>131</v>
      </c>
      <c r="AA798" s="90">
        <v>94551</v>
      </c>
      <c r="AB798" t="s">
        <v>723</v>
      </c>
      <c r="AC798" t="s">
        <v>0</v>
      </c>
      <c r="AD798" t="s">
        <v>140</v>
      </c>
    </row>
    <row r="799" spans="2:30" x14ac:dyDescent="0.25">
      <c r="B799">
        <v>100101</v>
      </c>
      <c r="C799" t="s">
        <v>1467</v>
      </c>
      <c r="D799">
        <v>2016</v>
      </c>
      <c r="F799" s="89">
        <v>7943.8679252502297</v>
      </c>
      <c r="G799" s="89" t="s">
        <v>128</v>
      </c>
      <c r="H799" s="89"/>
      <c r="I799" s="89">
        <v>39.867925250237498</v>
      </c>
      <c r="J799" s="89">
        <v>7904</v>
      </c>
      <c r="K799" s="89">
        <v>0</v>
      </c>
      <c r="L799" s="89">
        <v>0</v>
      </c>
      <c r="M799" s="89">
        <v>0</v>
      </c>
      <c r="N799" s="89"/>
      <c r="O799" s="89">
        <v>0</v>
      </c>
      <c r="P799" s="89">
        <v>0</v>
      </c>
      <c r="Q799" s="89">
        <v>0</v>
      </c>
      <c r="R799" s="89">
        <v>0</v>
      </c>
      <c r="S799" s="89">
        <v>7943.8679252502297</v>
      </c>
      <c r="T799"/>
      <c r="U799" t="s">
        <v>129</v>
      </c>
      <c r="V799" t="s">
        <v>129</v>
      </c>
      <c r="Y799" t="s">
        <v>160</v>
      </c>
      <c r="Z799" t="s">
        <v>131</v>
      </c>
      <c r="AA799" s="90">
        <v>92883</v>
      </c>
      <c r="AB799" t="s">
        <v>723</v>
      </c>
      <c r="AC799" t="s">
        <v>0</v>
      </c>
      <c r="AD799" t="s">
        <v>140</v>
      </c>
    </row>
    <row r="800" spans="2:30" x14ac:dyDescent="0.25">
      <c r="B800">
        <v>104363</v>
      </c>
      <c r="C800" t="s">
        <v>1468</v>
      </c>
      <c r="D800">
        <v>2016</v>
      </c>
      <c r="F800" s="89">
        <v>17782.248717739301</v>
      </c>
      <c r="G800" s="89" t="s">
        <v>128</v>
      </c>
      <c r="H800" s="89"/>
      <c r="I800" s="89">
        <v>17782.248717739301</v>
      </c>
      <c r="J800" s="89">
        <v>0</v>
      </c>
      <c r="K800" s="89">
        <v>0</v>
      </c>
      <c r="L800" s="89">
        <v>0</v>
      </c>
      <c r="M800" s="89">
        <v>0</v>
      </c>
      <c r="N800" s="89"/>
      <c r="O800" s="89">
        <v>0</v>
      </c>
      <c r="P800" s="89">
        <v>0</v>
      </c>
      <c r="Q800" s="89">
        <v>0</v>
      </c>
      <c r="R800" s="89">
        <v>0</v>
      </c>
      <c r="S800" s="89">
        <v>17782.248717739301</v>
      </c>
      <c r="T800"/>
      <c r="U800" t="s">
        <v>129</v>
      </c>
      <c r="V800" t="s">
        <v>129</v>
      </c>
      <c r="Y800" t="s">
        <v>1469</v>
      </c>
      <c r="Z800" t="s">
        <v>131</v>
      </c>
      <c r="AA800" s="90">
        <v>90723</v>
      </c>
      <c r="AB800" t="s">
        <v>497</v>
      </c>
      <c r="AC800" t="s">
        <v>0</v>
      </c>
      <c r="AD800" t="s">
        <v>143</v>
      </c>
    </row>
    <row r="801" spans="2:30" x14ac:dyDescent="0.25">
      <c r="B801">
        <v>5007</v>
      </c>
      <c r="C801" t="s">
        <v>1470</v>
      </c>
      <c r="D801">
        <v>2016</v>
      </c>
      <c r="F801" s="89">
        <v>10053.906607999999</v>
      </c>
      <c r="G801" s="89" t="s">
        <v>128</v>
      </c>
      <c r="H801" s="89"/>
      <c r="I801" s="89">
        <v>0</v>
      </c>
      <c r="J801" s="89">
        <v>0</v>
      </c>
      <c r="K801" s="89">
        <v>10053.906607999999</v>
      </c>
      <c r="L801" s="89">
        <v>0</v>
      </c>
      <c r="M801" s="89">
        <v>0</v>
      </c>
      <c r="N801" s="89"/>
      <c r="O801" s="89">
        <v>0</v>
      </c>
      <c r="P801" s="89">
        <v>0</v>
      </c>
      <c r="Q801" s="89">
        <v>0</v>
      </c>
      <c r="R801" s="89">
        <v>0</v>
      </c>
      <c r="S801" s="89">
        <v>10053.906607999999</v>
      </c>
      <c r="T801"/>
      <c r="U801" t="s">
        <v>129</v>
      </c>
      <c r="V801" t="s">
        <v>129</v>
      </c>
      <c r="Y801" t="s">
        <v>134</v>
      </c>
      <c r="Z801" t="s">
        <v>131</v>
      </c>
      <c r="AA801" s="90">
        <v>90120</v>
      </c>
      <c r="AB801" t="s">
        <v>550</v>
      </c>
      <c r="AC801" t="s">
        <v>259</v>
      </c>
      <c r="AD801" t="s">
        <v>260</v>
      </c>
    </row>
    <row r="802" spans="2:30" x14ac:dyDescent="0.25">
      <c r="B802">
        <v>104638</v>
      </c>
      <c r="C802" t="s">
        <v>1471</v>
      </c>
      <c r="D802">
        <v>2016</v>
      </c>
      <c r="F802" s="89">
        <v>8678.4448912000007</v>
      </c>
      <c r="G802" s="89" t="s">
        <v>128</v>
      </c>
      <c r="H802" s="89"/>
      <c r="I802" s="89">
        <v>8678.4448912000007</v>
      </c>
      <c r="J802" s="89">
        <v>0</v>
      </c>
      <c r="K802" s="89">
        <v>0</v>
      </c>
      <c r="L802" s="89">
        <v>0</v>
      </c>
      <c r="M802" s="89">
        <v>0</v>
      </c>
      <c r="N802" s="89"/>
      <c r="O802" s="89">
        <v>0</v>
      </c>
      <c r="P802" s="89">
        <v>0</v>
      </c>
      <c r="Q802" s="89">
        <v>0</v>
      </c>
      <c r="R802" s="89">
        <v>0</v>
      </c>
      <c r="S802" s="89">
        <v>8678.4448912000007</v>
      </c>
      <c r="T802"/>
      <c r="U802" t="s">
        <v>129</v>
      </c>
      <c r="V802" t="s">
        <v>129</v>
      </c>
      <c r="Y802" t="s">
        <v>1472</v>
      </c>
      <c r="Z802" t="s">
        <v>131</v>
      </c>
      <c r="AA802" s="90">
        <v>93227</v>
      </c>
      <c r="AB802" t="s">
        <v>1530</v>
      </c>
      <c r="AC802" t="s">
        <v>0</v>
      </c>
      <c r="AD802" t="s">
        <v>143</v>
      </c>
    </row>
    <row r="803" spans="2:30" x14ac:dyDescent="0.25">
      <c r="B803">
        <v>104490</v>
      </c>
      <c r="C803" t="s">
        <v>1473</v>
      </c>
      <c r="D803">
        <v>2016</v>
      </c>
      <c r="F803" s="89">
        <v>24478.027264</v>
      </c>
      <c r="G803" s="89" t="s">
        <v>128</v>
      </c>
      <c r="H803" s="89"/>
      <c r="I803" s="89">
        <v>0</v>
      </c>
      <c r="J803" s="89">
        <v>0</v>
      </c>
      <c r="K803" s="89">
        <v>24478.027264</v>
      </c>
      <c r="L803" s="89">
        <v>0</v>
      </c>
      <c r="M803" s="89">
        <v>0</v>
      </c>
      <c r="N803" s="89"/>
      <c r="O803" s="89">
        <v>0</v>
      </c>
      <c r="P803" s="89">
        <v>24478.027264</v>
      </c>
      <c r="Q803" s="89">
        <v>0</v>
      </c>
      <c r="R803" s="89">
        <v>24478.027264</v>
      </c>
      <c r="S803" s="89">
        <v>0</v>
      </c>
      <c r="T803"/>
      <c r="U803" t="s">
        <v>155</v>
      </c>
      <c r="V803" t="s">
        <v>129</v>
      </c>
      <c r="W803" t="s">
        <v>197</v>
      </c>
      <c r="Y803" t="s">
        <v>1474</v>
      </c>
      <c r="Z803" t="s">
        <v>360</v>
      </c>
      <c r="AA803" s="90">
        <v>79901</v>
      </c>
      <c r="AB803" t="s">
        <v>229</v>
      </c>
      <c r="AC803" t="s">
        <v>147</v>
      </c>
      <c r="AD803" t="s">
        <v>148</v>
      </c>
    </row>
    <row r="804" spans="2:30" x14ac:dyDescent="0.25">
      <c r="B804">
        <v>100878</v>
      </c>
      <c r="C804" t="s">
        <v>1475</v>
      </c>
      <c r="D804">
        <v>2016</v>
      </c>
      <c r="F804" s="89">
        <v>23909.91033698</v>
      </c>
      <c r="G804" s="89" t="s">
        <v>128</v>
      </c>
      <c r="H804" s="89"/>
      <c r="I804" s="89">
        <v>23909.91033698</v>
      </c>
      <c r="J804" s="89">
        <v>0</v>
      </c>
      <c r="K804" s="89">
        <v>0</v>
      </c>
      <c r="L804" s="89">
        <v>0</v>
      </c>
      <c r="M804" s="89">
        <v>0</v>
      </c>
      <c r="N804" s="89"/>
      <c r="O804" s="89">
        <v>23906.9404928</v>
      </c>
      <c r="P804" s="89">
        <v>0</v>
      </c>
      <c r="Q804" s="89">
        <v>0</v>
      </c>
      <c r="R804" s="89">
        <v>23906.9404928</v>
      </c>
      <c r="S804" s="89">
        <v>2.9698441799999999</v>
      </c>
      <c r="T804"/>
      <c r="U804" t="s">
        <v>155</v>
      </c>
      <c r="V804" t="s">
        <v>129</v>
      </c>
      <c r="W804" t="s">
        <v>337</v>
      </c>
      <c r="Y804" t="s">
        <v>1320</v>
      </c>
      <c r="Z804" t="s">
        <v>131</v>
      </c>
      <c r="AA804" s="90">
        <v>90650</v>
      </c>
      <c r="AB804" t="s">
        <v>132</v>
      </c>
      <c r="AC804" t="s">
        <v>0</v>
      </c>
      <c r="AD804" t="s">
        <v>133</v>
      </c>
    </row>
    <row r="805" spans="2:30" x14ac:dyDescent="0.25">
      <c r="B805">
        <v>100282</v>
      </c>
      <c r="C805" t="s">
        <v>1476</v>
      </c>
      <c r="D805">
        <v>2016</v>
      </c>
      <c r="F805" s="89">
        <v>581910.60663400404</v>
      </c>
      <c r="G805" s="89" t="s">
        <v>128</v>
      </c>
      <c r="H805" s="89"/>
      <c r="I805" s="89">
        <v>9165.3497340047998</v>
      </c>
      <c r="J805" s="89">
        <v>572745.25690000004</v>
      </c>
      <c r="K805" s="89">
        <v>0</v>
      </c>
      <c r="L805" s="89">
        <v>0</v>
      </c>
      <c r="M805" s="89">
        <v>0</v>
      </c>
      <c r="N805" s="89"/>
      <c r="O805" s="89">
        <v>0</v>
      </c>
      <c r="P805" s="89">
        <v>0</v>
      </c>
      <c r="Q805" s="89">
        <v>0</v>
      </c>
      <c r="R805" s="89">
        <v>0</v>
      </c>
      <c r="S805" s="89">
        <v>581910.60663400404</v>
      </c>
      <c r="T805"/>
      <c r="U805" t="s">
        <v>155</v>
      </c>
      <c r="V805" t="s">
        <v>129</v>
      </c>
      <c r="W805" t="s">
        <v>337</v>
      </c>
      <c r="Y805" t="s">
        <v>1289</v>
      </c>
      <c r="Z805" t="s">
        <v>131</v>
      </c>
      <c r="AA805" s="90">
        <v>96007</v>
      </c>
      <c r="AB805" t="s">
        <v>139</v>
      </c>
      <c r="AC805" t="s">
        <v>0</v>
      </c>
      <c r="AD805" t="s">
        <v>140</v>
      </c>
    </row>
    <row r="806" spans="2:30" x14ac:dyDescent="0.25">
      <c r="B806">
        <v>104392</v>
      </c>
      <c r="C806" t="s">
        <v>1477</v>
      </c>
      <c r="D806">
        <v>2016</v>
      </c>
      <c r="F806" s="89">
        <v>14656.9384364416</v>
      </c>
      <c r="G806" s="89" t="s">
        <v>128</v>
      </c>
      <c r="H806" s="89"/>
      <c r="I806" s="89">
        <v>14656.9384364416</v>
      </c>
      <c r="J806" s="89">
        <v>0</v>
      </c>
      <c r="K806" s="89">
        <v>0</v>
      </c>
      <c r="L806" s="89">
        <v>0</v>
      </c>
      <c r="M806" s="89">
        <v>0</v>
      </c>
      <c r="N806" s="89"/>
      <c r="O806" s="89">
        <v>13610.844436441599</v>
      </c>
      <c r="P806" s="89">
        <v>0</v>
      </c>
      <c r="Q806" s="89">
        <v>0</v>
      </c>
      <c r="R806" s="89">
        <v>13610.844436441599</v>
      </c>
      <c r="S806" s="89">
        <v>1046.0940000000001</v>
      </c>
      <c r="T806"/>
      <c r="U806" t="s">
        <v>210</v>
      </c>
      <c r="V806" t="s">
        <v>129</v>
      </c>
      <c r="W806" t="s">
        <v>204</v>
      </c>
      <c r="Y806" t="s">
        <v>744</v>
      </c>
      <c r="Z806" t="s">
        <v>131</v>
      </c>
      <c r="AA806" s="90">
        <v>95948</v>
      </c>
      <c r="AB806" t="s">
        <v>451</v>
      </c>
      <c r="AC806" t="s">
        <v>175</v>
      </c>
      <c r="AD806" t="s">
        <v>176</v>
      </c>
    </row>
    <row r="807" spans="2:30" x14ac:dyDescent="0.25">
      <c r="B807">
        <v>101343</v>
      </c>
      <c r="C807" t="s">
        <v>1478</v>
      </c>
      <c r="D807">
        <v>2016</v>
      </c>
      <c r="F807" s="89">
        <v>19667.952544</v>
      </c>
      <c r="G807" s="89" t="s">
        <v>128</v>
      </c>
      <c r="H807" s="89"/>
      <c r="I807" s="89">
        <v>19667.952544</v>
      </c>
      <c r="J807" s="89">
        <v>0</v>
      </c>
      <c r="K807" s="89">
        <v>0</v>
      </c>
      <c r="L807" s="89">
        <v>0</v>
      </c>
      <c r="M807" s="89">
        <v>0</v>
      </c>
      <c r="N807" s="89"/>
      <c r="O807" s="89">
        <v>19667.952544</v>
      </c>
      <c r="P807" s="89">
        <v>0</v>
      </c>
      <c r="Q807" s="89">
        <v>0</v>
      </c>
      <c r="R807" s="89">
        <v>19667.952544</v>
      </c>
      <c r="S807" s="89">
        <v>0</v>
      </c>
      <c r="T807"/>
      <c r="U807" t="s">
        <v>155</v>
      </c>
      <c r="V807" t="s">
        <v>129</v>
      </c>
      <c r="W807" t="s">
        <v>222</v>
      </c>
      <c r="Y807" t="s">
        <v>1479</v>
      </c>
      <c r="Z807" t="s">
        <v>131</v>
      </c>
      <c r="AA807" s="90">
        <v>92258</v>
      </c>
      <c r="AB807" t="s">
        <v>132</v>
      </c>
      <c r="AC807" t="s">
        <v>1</v>
      </c>
      <c r="AD807" t="s">
        <v>140</v>
      </c>
    </row>
    <row r="808" spans="2:30" x14ac:dyDescent="0.25">
      <c r="B808">
        <v>100353</v>
      </c>
      <c r="C808" t="s">
        <v>1480</v>
      </c>
      <c r="D808">
        <v>2016</v>
      </c>
      <c r="F808" s="89">
        <v>25730.792092</v>
      </c>
      <c r="G808" s="89" t="s">
        <v>128</v>
      </c>
      <c r="H808" s="89"/>
      <c r="I808" s="89">
        <v>25730.792092</v>
      </c>
      <c r="J808" s="89">
        <v>0</v>
      </c>
      <c r="K808" s="89">
        <v>0</v>
      </c>
      <c r="L808" s="89">
        <v>0</v>
      </c>
      <c r="M808" s="89">
        <v>0</v>
      </c>
      <c r="N808" s="89"/>
      <c r="O808" s="89">
        <v>25730.792092</v>
      </c>
      <c r="P808" s="89">
        <v>0</v>
      </c>
      <c r="Q808" s="89">
        <v>0</v>
      </c>
      <c r="R808" s="89">
        <v>25730.792092</v>
      </c>
      <c r="S808" s="89">
        <v>0</v>
      </c>
      <c r="T808"/>
      <c r="U808" t="s">
        <v>155</v>
      </c>
      <c r="V808" t="s">
        <v>129</v>
      </c>
      <c r="W808" t="s">
        <v>222</v>
      </c>
      <c r="Y808" t="s">
        <v>283</v>
      </c>
      <c r="Z808" t="s">
        <v>131</v>
      </c>
      <c r="AA808" s="90">
        <v>92154</v>
      </c>
      <c r="AB808" t="s">
        <v>132</v>
      </c>
      <c r="AC808" t="s">
        <v>1</v>
      </c>
      <c r="AD808" t="s">
        <v>140</v>
      </c>
    </row>
    <row r="809" spans="2:30" x14ac:dyDescent="0.25">
      <c r="B809">
        <v>104359</v>
      </c>
      <c r="C809" t="s">
        <v>1481</v>
      </c>
      <c r="D809">
        <v>2016</v>
      </c>
      <c r="F809" s="89">
        <v>40834.97</v>
      </c>
      <c r="G809" s="89" t="s">
        <v>128</v>
      </c>
      <c r="H809" s="89"/>
      <c r="I809" s="89">
        <v>40834.97</v>
      </c>
      <c r="J809" s="89">
        <v>0</v>
      </c>
      <c r="K809" s="89">
        <v>0</v>
      </c>
      <c r="L809" s="89">
        <v>0</v>
      </c>
      <c r="M809" s="89">
        <v>0</v>
      </c>
      <c r="N809" s="89"/>
      <c r="O809" s="89">
        <v>40834.97</v>
      </c>
      <c r="P809" s="89">
        <v>0</v>
      </c>
      <c r="Q809" s="89">
        <v>0</v>
      </c>
      <c r="R809" s="89">
        <v>40834.97</v>
      </c>
      <c r="S809" s="89">
        <v>0</v>
      </c>
      <c r="T809"/>
      <c r="U809" t="s">
        <v>155</v>
      </c>
      <c r="V809" t="s">
        <v>129</v>
      </c>
      <c r="W809" t="s">
        <v>222</v>
      </c>
      <c r="Y809" t="s">
        <v>688</v>
      </c>
      <c r="Z809" t="s">
        <v>131</v>
      </c>
      <c r="AA809" s="90">
        <v>93458</v>
      </c>
      <c r="AB809" t="s">
        <v>778</v>
      </c>
      <c r="AC809" t="s">
        <v>0</v>
      </c>
      <c r="AD809" t="s">
        <v>143</v>
      </c>
    </row>
    <row r="810" spans="2:30" x14ac:dyDescent="0.25">
      <c r="B810">
        <v>101693</v>
      </c>
      <c r="C810" t="s">
        <v>1482</v>
      </c>
      <c r="D810">
        <v>2016</v>
      </c>
      <c r="F810" s="89">
        <v>30221.313006</v>
      </c>
      <c r="G810" s="89" t="s">
        <v>128</v>
      </c>
      <c r="H810" s="89"/>
      <c r="I810" s="89">
        <v>30221.313006</v>
      </c>
      <c r="J810" s="89">
        <v>0</v>
      </c>
      <c r="K810" s="89">
        <v>0</v>
      </c>
      <c r="L810" s="89">
        <v>0</v>
      </c>
      <c r="M810" s="89">
        <v>0</v>
      </c>
      <c r="N810" s="89"/>
      <c r="O810" s="89">
        <v>30221.313006</v>
      </c>
      <c r="P810" s="89">
        <v>0</v>
      </c>
      <c r="Q810" s="89">
        <v>0</v>
      </c>
      <c r="R810" s="89">
        <v>30221.313006</v>
      </c>
      <c r="S810" s="89">
        <v>0</v>
      </c>
      <c r="T810"/>
      <c r="U810" t="s">
        <v>155</v>
      </c>
      <c r="V810" t="s">
        <v>129</v>
      </c>
      <c r="W810" t="s">
        <v>156</v>
      </c>
      <c r="Y810" t="s">
        <v>178</v>
      </c>
      <c r="Z810" t="s">
        <v>131</v>
      </c>
      <c r="AA810" s="90">
        <v>93307</v>
      </c>
      <c r="AB810" t="s">
        <v>1483</v>
      </c>
      <c r="AC810" t="s">
        <v>0</v>
      </c>
      <c r="AD810" t="s">
        <v>143</v>
      </c>
    </row>
    <row r="811" spans="2:30" x14ac:dyDescent="0.25">
      <c r="B811">
        <v>101493</v>
      </c>
      <c r="C811" t="s">
        <v>1484</v>
      </c>
      <c r="D811">
        <v>2016</v>
      </c>
      <c r="F811" s="89">
        <v>272036.558865787</v>
      </c>
      <c r="G811" s="89" t="s">
        <v>128</v>
      </c>
      <c r="H811" s="89"/>
      <c r="I811" s="89">
        <v>11918.5588657878</v>
      </c>
      <c r="J811" s="89">
        <v>260118</v>
      </c>
      <c r="K811" s="89">
        <v>0</v>
      </c>
      <c r="L811" s="89">
        <v>0</v>
      </c>
      <c r="M811" s="89">
        <v>0</v>
      </c>
      <c r="N811" s="89"/>
      <c r="O811" s="89">
        <v>0</v>
      </c>
      <c r="P811" s="89">
        <v>0</v>
      </c>
      <c r="Q811" s="89">
        <v>0</v>
      </c>
      <c r="R811" s="89">
        <v>0</v>
      </c>
      <c r="S811" s="89">
        <v>272036.558865787</v>
      </c>
      <c r="T811"/>
      <c r="U811" t="s">
        <v>155</v>
      </c>
      <c r="V811" t="s">
        <v>129</v>
      </c>
      <c r="W811" t="s">
        <v>232</v>
      </c>
      <c r="Y811" t="s">
        <v>1087</v>
      </c>
      <c r="Z811" t="s">
        <v>131</v>
      </c>
      <c r="AA811" s="90">
        <v>95776</v>
      </c>
      <c r="AB811" t="s">
        <v>241</v>
      </c>
      <c r="AC811" t="s">
        <v>0</v>
      </c>
      <c r="AD811" t="s">
        <v>140</v>
      </c>
    </row>
    <row r="812" spans="2:30" x14ac:dyDescent="0.25">
      <c r="B812">
        <v>104679</v>
      </c>
      <c r="C812" t="s">
        <v>1485</v>
      </c>
      <c r="D812">
        <v>2016</v>
      </c>
      <c r="F812" s="89">
        <v>13625.9918688</v>
      </c>
      <c r="G812" s="89" t="s">
        <v>128</v>
      </c>
      <c r="H812" s="89"/>
      <c r="I812" s="89">
        <v>13625.9918688</v>
      </c>
      <c r="J812" s="89">
        <v>0</v>
      </c>
      <c r="K812" s="89">
        <v>0</v>
      </c>
      <c r="L812" s="89">
        <v>0</v>
      </c>
      <c r="M812" s="89">
        <v>0</v>
      </c>
      <c r="N812" s="89"/>
      <c r="O812" s="89">
        <v>0</v>
      </c>
      <c r="P812" s="89">
        <v>0</v>
      </c>
      <c r="Q812" s="89">
        <v>0</v>
      </c>
      <c r="R812" s="89">
        <v>0</v>
      </c>
      <c r="S812" s="89">
        <v>13625.9918688</v>
      </c>
      <c r="T812"/>
      <c r="U812" t="s">
        <v>129</v>
      </c>
      <c r="V812" t="s">
        <v>129</v>
      </c>
      <c r="Y812" t="s">
        <v>446</v>
      </c>
      <c r="Z812" t="s">
        <v>131</v>
      </c>
      <c r="AA812" s="90">
        <v>93622</v>
      </c>
      <c r="AB812" t="s">
        <v>1486</v>
      </c>
      <c r="AC812" t="s">
        <v>0</v>
      </c>
      <c r="AD812" t="s">
        <v>143</v>
      </c>
    </row>
    <row r="813" spans="2:30" x14ac:dyDescent="0.25">
      <c r="B813">
        <v>104678</v>
      </c>
      <c r="C813" t="s">
        <v>1487</v>
      </c>
      <c r="D813">
        <v>2016</v>
      </c>
      <c r="F813" s="89">
        <v>12283.41940112</v>
      </c>
      <c r="G813" s="89" t="s">
        <v>128</v>
      </c>
      <c r="H813" s="89"/>
      <c r="I813" s="89">
        <v>12283.41940112</v>
      </c>
      <c r="J813" s="89">
        <v>0</v>
      </c>
      <c r="K813" s="89">
        <v>0</v>
      </c>
      <c r="L813" s="89">
        <v>0</v>
      </c>
      <c r="M813" s="89">
        <v>0</v>
      </c>
      <c r="N813" s="89"/>
      <c r="O813" s="89">
        <v>0</v>
      </c>
      <c r="P813" s="89">
        <v>0</v>
      </c>
      <c r="Q813" s="89">
        <v>0</v>
      </c>
      <c r="R813" s="89">
        <v>0</v>
      </c>
      <c r="S813" s="89">
        <v>12283.41940112</v>
      </c>
      <c r="T813"/>
      <c r="U813" t="s">
        <v>129</v>
      </c>
      <c r="V813" t="s">
        <v>129</v>
      </c>
      <c r="Y813" t="s">
        <v>1488</v>
      </c>
      <c r="Z813" t="s">
        <v>131</v>
      </c>
      <c r="AA813" s="90">
        <v>93727</v>
      </c>
      <c r="AB813" t="s">
        <v>1486</v>
      </c>
      <c r="AC813" t="s">
        <v>0</v>
      </c>
      <c r="AD813" t="s">
        <v>143</v>
      </c>
    </row>
    <row r="814" spans="2:30" x14ac:dyDescent="0.25">
      <c r="B814">
        <v>101736</v>
      </c>
      <c r="C814" t="s">
        <v>1489</v>
      </c>
      <c r="D814">
        <v>2016</v>
      </c>
      <c r="F814" s="89">
        <v>35333.192429759998</v>
      </c>
      <c r="G814" s="89" t="s">
        <v>128</v>
      </c>
      <c r="H814" s="89"/>
      <c r="I814" s="89">
        <v>35333.192429759998</v>
      </c>
      <c r="J814" s="89">
        <v>0</v>
      </c>
      <c r="K814" s="89">
        <v>0</v>
      </c>
      <c r="L814" s="89">
        <v>0</v>
      </c>
      <c r="M814" s="89">
        <v>0</v>
      </c>
      <c r="N814" s="89"/>
      <c r="O814" s="89">
        <v>32912.684653759999</v>
      </c>
      <c r="P814" s="89">
        <v>0</v>
      </c>
      <c r="Q814" s="89">
        <v>0</v>
      </c>
      <c r="R814" s="89">
        <v>32912.684653759999</v>
      </c>
      <c r="S814" s="89">
        <v>2420.5077759999999</v>
      </c>
      <c r="T814"/>
      <c r="U814" t="s">
        <v>155</v>
      </c>
      <c r="V814" t="s">
        <v>155</v>
      </c>
      <c r="W814" t="s">
        <v>215</v>
      </c>
      <c r="Y814" t="s">
        <v>1488</v>
      </c>
      <c r="Z814" t="s">
        <v>131</v>
      </c>
      <c r="AA814" s="90">
        <v>93249</v>
      </c>
      <c r="AB814" t="s">
        <v>1486</v>
      </c>
      <c r="AC814" t="s">
        <v>0</v>
      </c>
      <c r="AD814" t="s">
        <v>143</v>
      </c>
    </row>
    <row r="815" spans="2:30" x14ac:dyDescent="0.25">
      <c r="B815">
        <v>104618</v>
      </c>
      <c r="C815" t="s">
        <v>1490</v>
      </c>
      <c r="D815">
        <v>2016</v>
      </c>
      <c r="F815" s="89">
        <v>17858.986226592398</v>
      </c>
      <c r="G815" s="89" t="s">
        <v>128</v>
      </c>
      <c r="H815" s="89"/>
      <c r="I815" s="89">
        <v>17858.986226592398</v>
      </c>
      <c r="J815" s="89">
        <v>0</v>
      </c>
      <c r="K815" s="89">
        <v>0</v>
      </c>
      <c r="L815" s="89">
        <v>0</v>
      </c>
      <c r="M815" s="89">
        <v>0</v>
      </c>
      <c r="N815" s="89"/>
      <c r="O815" s="89">
        <v>0</v>
      </c>
      <c r="P815" s="89">
        <v>0</v>
      </c>
      <c r="Q815" s="89">
        <v>0</v>
      </c>
      <c r="R815" s="89">
        <v>0</v>
      </c>
      <c r="S815" s="89">
        <v>17858.986226592398</v>
      </c>
      <c r="T815"/>
      <c r="U815" t="s">
        <v>129</v>
      </c>
      <c r="V815" t="s">
        <v>129</v>
      </c>
      <c r="Y815" t="s">
        <v>540</v>
      </c>
      <c r="Z815" t="s">
        <v>131</v>
      </c>
      <c r="AA815" s="90">
        <v>91748</v>
      </c>
      <c r="AB815" t="s">
        <v>411</v>
      </c>
      <c r="AC815" t="s">
        <v>0</v>
      </c>
      <c r="AD815" t="s">
        <v>143</v>
      </c>
    </row>
    <row r="816" spans="2:30" x14ac:dyDescent="0.25">
      <c r="B816">
        <v>104006</v>
      </c>
      <c r="C816" t="s">
        <v>1491</v>
      </c>
      <c r="D816">
        <v>2016</v>
      </c>
      <c r="F816" s="89">
        <v>0</v>
      </c>
      <c r="G816" s="89" t="s">
        <v>128</v>
      </c>
      <c r="H816" s="89"/>
      <c r="I816" s="89">
        <v>0</v>
      </c>
      <c r="J816" s="89">
        <v>0</v>
      </c>
      <c r="K816" s="89">
        <v>0</v>
      </c>
      <c r="L816" s="89">
        <v>0</v>
      </c>
      <c r="M816" s="89">
        <v>0</v>
      </c>
      <c r="N816" s="89"/>
      <c r="O816" s="89">
        <v>0</v>
      </c>
      <c r="P816" s="89">
        <v>0</v>
      </c>
      <c r="Q816" s="89">
        <v>0</v>
      </c>
      <c r="R816" s="89">
        <v>0</v>
      </c>
      <c r="S816" s="89">
        <v>0</v>
      </c>
      <c r="T816"/>
      <c r="U816" t="s">
        <v>155</v>
      </c>
      <c r="V816" t="s">
        <v>155</v>
      </c>
      <c r="W816" t="s">
        <v>215</v>
      </c>
      <c r="Y816" t="s">
        <v>1492</v>
      </c>
      <c r="Z816" t="s">
        <v>131</v>
      </c>
      <c r="AA816" s="90">
        <v>95691</v>
      </c>
      <c r="AB816" t="s">
        <v>1493</v>
      </c>
      <c r="AC816" t="s">
        <v>817</v>
      </c>
      <c r="AD816" t="s">
        <v>143</v>
      </c>
    </row>
    <row r="817" spans="2:30" x14ac:dyDescent="0.25">
      <c r="B817">
        <v>100322</v>
      </c>
      <c r="C817" t="s">
        <v>1494</v>
      </c>
      <c r="D817">
        <v>2016</v>
      </c>
      <c r="F817" s="89">
        <v>7350.4719999999998</v>
      </c>
      <c r="G817" s="89" t="s">
        <v>128</v>
      </c>
      <c r="H817" s="89"/>
      <c r="I817" s="89">
        <v>7350.4719999999998</v>
      </c>
      <c r="J817" s="89">
        <v>0</v>
      </c>
      <c r="K817" s="89">
        <v>0</v>
      </c>
      <c r="L817" s="89">
        <v>0</v>
      </c>
      <c r="M817" s="89">
        <v>0</v>
      </c>
      <c r="N817" s="89"/>
      <c r="O817" s="89">
        <v>0</v>
      </c>
      <c r="P817" s="89">
        <v>0</v>
      </c>
      <c r="Q817" s="89">
        <v>0</v>
      </c>
      <c r="R817" s="89">
        <v>0</v>
      </c>
      <c r="S817" s="89">
        <v>7350.4719999999998</v>
      </c>
      <c r="T817"/>
      <c r="U817" t="s">
        <v>129</v>
      </c>
      <c r="V817" t="s">
        <v>129</v>
      </c>
      <c r="Y817" t="s">
        <v>458</v>
      </c>
      <c r="Z817" t="s">
        <v>131</v>
      </c>
      <c r="AA817" s="90">
        <v>95993</v>
      </c>
      <c r="AB817" t="s">
        <v>132</v>
      </c>
      <c r="AC817" t="s">
        <v>0</v>
      </c>
      <c r="AD817" t="s">
        <v>133</v>
      </c>
    </row>
    <row r="818" spans="2:30" x14ac:dyDescent="0.25">
      <c r="B818">
        <v>104693</v>
      </c>
      <c r="C818" t="s">
        <v>1495</v>
      </c>
      <c r="D818">
        <v>2016</v>
      </c>
      <c r="F818" s="89">
        <v>0</v>
      </c>
      <c r="G818" s="89" t="s">
        <v>128</v>
      </c>
      <c r="H818" s="89"/>
      <c r="I818" s="89">
        <v>0</v>
      </c>
      <c r="J818" s="89">
        <v>0</v>
      </c>
      <c r="K818" s="89">
        <v>0</v>
      </c>
      <c r="L818" s="89">
        <v>0</v>
      </c>
      <c r="M818" s="89">
        <v>0</v>
      </c>
      <c r="N818" s="89"/>
      <c r="O818" s="89">
        <v>0</v>
      </c>
      <c r="P818" s="89">
        <v>0</v>
      </c>
      <c r="Q818" s="89">
        <v>0</v>
      </c>
      <c r="R818" s="89">
        <v>0</v>
      </c>
      <c r="S818" s="89">
        <v>0</v>
      </c>
      <c r="T818"/>
      <c r="U818" t="s">
        <v>155</v>
      </c>
      <c r="V818" t="s">
        <v>129</v>
      </c>
      <c r="W818" t="s">
        <v>156</v>
      </c>
      <c r="Y818" t="s">
        <v>1496</v>
      </c>
      <c r="Z818" t="s">
        <v>131</v>
      </c>
      <c r="AA818" s="90">
        <v>95630</v>
      </c>
      <c r="AB818" t="s">
        <v>158</v>
      </c>
      <c r="AC818" t="s">
        <v>136</v>
      </c>
      <c r="AD818" t="s">
        <v>137</v>
      </c>
    </row>
  </sheetData>
  <autoFilter ref="B9:AD9" xr:uid="{00000000-0001-0000-0200-000000000000}">
    <sortState xmlns:xlrd2="http://schemas.microsoft.com/office/spreadsheetml/2017/richdata2" ref="B10:AD818">
      <sortCondition ref="C9"/>
    </sortState>
  </autoFilter>
  <mergeCells count="11">
    <mergeCell ref="F2:U2"/>
    <mergeCell ref="B3:F3"/>
    <mergeCell ref="B4:D4"/>
    <mergeCell ref="AB8:AD8"/>
    <mergeCell ref="B6:D6"/>
    <mergeCell ref="Y8:AA8"/>
    <mergeCell ref="F8:G8"/>
    <mergeCell ref="B8:D8"/>
    <mergeCell ref="U8:W8"/>
    <mergeCell ref="I8:M8"/>
    <mergeCell ref="O8:S8"/>
  </mergeCells>
  <pageMargins left="0.7" right="0.7" top="0.75" bottom="0.75" header="0.3" footer="0.3"/>
  <pageSetup scale="24" fitToHeight="0" orientation="landscape" r:id="rId1"/>
  <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Introduction</vt:lpstr>
      <vt:lpstr>Column Descriptions</vt:lpstr>
      <vt:lpstr>2016 GHG Data</vt:lpstr>
      <vt:lpstr>'2016 GHG Data'!Print_Area</vt:lpstr>
      <vt:lpstr>'Column Descriptions'!Print_Area</vt:lpstr>
      <vt:lpstr>Introduction!Print_Area</vt:lpstr>
      <vt:lpstr>'2016 GHG Data'!Print_Titles</vt:lpstr>
      <vt:lpstr>'Column Descriptions'!Print_Titles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2014-11-04T22:11:14Z</dcterms:created>
  <dcterms:modified xsi:type="dcterms:W3CDTF">2022-10-27T17:00:08Z</dcterms:modified>
</cp:coreProperties>
</file>